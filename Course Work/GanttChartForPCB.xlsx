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Purdue\Fall 2025\ENGT-480---Senior-Capstone\Course Work\"/>
    </mc:Choice>
  </mc:AlternateContent>
  <xr:revisionPtr revIDLastSave="0" documentId="13_ncr:1_{FDCA15E1-2B72-44C0-B948-AE49A4C33F3E}" xr6:coauthVersionLast="47" xr6:coauthVersionMax="47" xr10:uidLastSave="{00000000-0000-0000-0000-000000000000}"/>
  <bookViews>
    <workbookView xWindow="28680" yWindow="-120" windowWidth="29040" windowHeight="158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1" l="1"/>
  <c r="D13" i="11"/>
  <c r="E9" i="11"/>
  <c r="E10" i="11" s="1"/>
  <c r="E11" i="11" s="1"/>
  <c r="E12" i="11" s="1"/>
  <c r="D8" i="11"/>
  <c r="H7" i="11" l="1"/>
  <c r="F11" i="11" l="1"/>
  <c r="F9" i="11"/>
  <c r="F12" i="11"/>
  <c r="F10" i="11"/>
  <c r="I5" i="11"/>
  <c r="H28" i="11"/>
  <c r="H27" i="11"/>
  <c r="H13" i="11"/>
  <c r="H8" i="1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2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<sst xmlns="http://schemas.openxmlformats.org/spreadsheetml/2006/main" count="74" uniqueCount="57">
  <si>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</si>
  <si>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</si>
  <si>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</si>
  <si>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</si>
  <si>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</si>
  <si>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</si>
  <si>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</si>
  <si>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</si>
  <si>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</si>
  <si>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</si>
  <si>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</si>
  <si>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</si>
  <si>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</si>
  <si>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</si>
  <si>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</si>
  <si>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</si>
  <si>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</si>
  <si>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</si>
  <si>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</si>
  <si>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</si>
  <si>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</si>
  <si>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</si>
  <si>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</si>
  <si>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</si>
  <si>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</si>
  <si>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</si>
  <si>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</si>
  <si>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</si>
  <si>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</si>
  <si>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</si>
  <si>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</si>
  <si>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</si>
  <si>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</si>
  <si>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</si>
  <si>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</si>
  <si>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Capstone PCB Design</t>
  </si>
  <si>
    <t>Group 10: Wabash National</t>
  </si>
  <si>
    <t>Phase 1 - Software Download</t>
  </si>
  <si>
    <t>Create Altium Account</t>
  </si>
  <si>
    <t>Verify Student Email</t>
  </si>
  <si>
    <t>Download Student Free Trial</t>
  </si>
  <si>
    <t>Watch Tutorials</t>
  </si>
  <si>
    <t>John Danison</t>
  </si>
  <si>
    <t>Phase 2 - Importing Schematics</t>
  </si>
  <si>
    <t>Find Component Libraries</t>
  </si>
  <si>
    <t>Download Libraries to Altium</t>
  </si>
  <si>
    <t>Create Sub Circuit 1 - Power Conversion</t>
  </si>
  <si>
    <t>Create Sub Circuit 2 - Data Storage</t>
  </si>
  <si>
    <t>Create Sub Circuit 3 - I2C Sensor Bus</t>
  </si>
  <si>
    <t>Create Sub Circuit 4 - Wheatstone Bridge</t>
  </si>
  <si>
    <t>Verify Circuit Against Prototype Setup</t>
  </si>
  <si>
    <t>Phase 3 - PCB Layout</t>
  </si>
  <si>
    <t xml:space="preserve">Layout Components </t>
  </si>
  <si>
    <t>Draw Traces</t>
  </si>
  <si>
    <t>Add Lables to Silk Screen Layer</t>
  </si>
  <si>
    <t>Create Mounting Holes</t>
  </si>
  <si>
    <t>Send To Get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</si>
</sst>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0.0%"/>
  </numFmts>
  <fonts count="2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39997558519241921"/>
        <bgColor indexed="64"/>
      </patternFill>
    </fill>
    <fill>
      <patternFill patternType="solid">
        <fgColor theme="9" tint="0.59999389629810485"/>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4" fillId="0" borderId="0"/>
    <xf numFmtId="43" fontId="9" fillId="0" borderId="3" applyFont="0" applyFill="0" applyAlignment="0" applyProtection="0"/>
    <xf numFmtId="0" fontId="15"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8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7" fillId="9" borderId="1" xfId="0" applyFont="1" applyFill="1" applyBorder="1" applyAlignment="1">
      <alignment horizontal="left" vertical="center" indent="1"/>
    </xf>
    <xf numFmtId="0" fontId="7" fillId="9" borderId="1" xfId="0" applyFont="1" applyFill="1" applyBorder="1" applyAlignment="1">
      <alignment horizontal="center" vertical="center" wrapText="1"/>
    </xf>
    <xf numFmtId="167" fontId="11" fillId="5" borderId="0" xfId="0" applyNumberFormat="1" applyFont="1" applyFill="1" applyAlignment="1">
      <alignment horizontal="center" vertical="center"/>
    </xf>
    <xf numFmtId="167" fontId="11" fillId="5" borderId="6" xfId="0" applyNumberFormat="1" applyFont="1" applyFill="1" applyBorder="1" applyAlignment="1">
      <alignment horizontal="center" vertical="center"/>
    </xf>
    <xf numFmtId="167" fontId="11" fillId="5" borderId="7" xfId="0" applyNumberFormat="1" applyFont="1" applyFill="1" applyBorder="1" applyAlignment="1">
      <alignment horizontal="center" vertical="center"/>
    </xf>
    <xf numFmtId="0" fontId="14" fillId="8" borderId="8" xfId="0" applyFont="1" applyFill="1" applyBorder="1" applyAlignment="1">
      <alignment horizontal="center" vertical="center" shrinkToFit="1"/>
    </xf>
    <xf numFmtId="0" fontId="16" fillId="0" borderId="0" xfId="0" applyFont="1"/>
    <xf numFmtId="0" fontId="17" fillId="0" borderId="0" xfId="1" applyFont="1" applyAlignment="1" applyProtection="1"/>
    <xf numFmtId="9" fontId="5" fillId="0" borderId="2" xfId="2" applyFont="1" applyFill="1" applyBorder="1" applyAlignment="1">
      <alignment horizontal="center" vertical="center"/>
    </xf>
    <xf numFmtId="0" fontId="5" fillId="0" borderId="2" xfId="0" applyFont="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7" borderId="2" xfId="0" applyFont="1" applyFill="1" applyBorder="1" applyAlignment="1">
      <alignment horizontal="left" vertical="center" indent="1"/>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1" fillId="0" borderId="0" xfId="0" applyFont="1"/>
    <xf numFmtId="0" fontId="23" fillId="0" borderId="0" xfId="0" applyFont="1" applyAlignment="1">
      <alignment vertical="center"/>
    </xf>
    <xf numFmtId="0" fontId="22" fillId="0" borderId="0" xfId="0" applyFont="1" applyAlignment="1">
      <alignment horizontal="left" vertical="top" wrapText="1" indent="1"/>
    </xf>
    <xf numFmtId="0" fontId="2" fillId="0" borderId="0" xfId="0" applyFont="1" applyAlignment="1">
      <alignment horizontal="left" vertical="top"/>
    </xf>
    <xf numFmtId="0" fontId="20"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4" fillId="0" borderId="0" xfId="3"/>
    <xf numFmtId="0" fontId="24" fillId="0" borderId="0" xfId="3" applyAlignment="1">
      <alignment wrapText="1"/>
    </xf>
    <xf numFmtId="0" fontId="24" fillId="0" borderId="0" xfId="0" applyFont="1" applyAlignment="1">
      <alignment horizontal="center"/>
    </xf>
    <xf numFmtId="0" fontId="17" fillId="0" borderId="0" xfId="1" applyFont="1" applyAlignment="1" applyProtection="1">
      <alignment vertical="top"/>
    </xf>
    <xf numFmtId="0" fontId="0" fillId="0" borderId="0" xfId="0" applyAlignment="1">
      <alignment wrapText="1"/>
    </xf>
    <xf numFmtId="0" fontId="15"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0" borderId="2" xfId="10" applyFill="1">
      <alignment horizontal="center" vertical="center"/>
    </xf>
    <xf numFmtId="0" fontId="9" fillId="6" borderId="2" xfId="11" applyFill="1">
      <alignment horizontal="center" vertical="center"/>
    </xf>
    <xf numFmtId="0" fontId="9" fillId="7" borderId="2" xfId="11" applyFill="1">
      <alignment horizontal="center" vertical="center"/>
    </xf>
    <xf numFmtId="0" fontId="9" fillId="0" borderId="2" xfId="11" applyFill="1">
      <alignment horizontal="center" vertical="center"/>
    </xf>
    <xf numFmtId="0" fontId="9" fillId="0" borderId="2" xfId="12" applyFill="1">
      <alignment horizontal="left" vertical="center" indent="2"/>
    </xf>
    <xf numFmtId="0" fontId="0" fillId="3" borderId="2" xfId="12" applyFont="1" applyFill="1">
      <alignment horizontal="left" vertical="center" indent="2"/>
    </xf>
    <xf numFmtId="0" fontId="0" fillId="4" borderId="2" xfId="12" applyFont="1" applyFill="1">
      <alignment horizontal="left" vertical="center" indent="2"/>
    </xf>
    <xf numFmtId="0" fontId="0" fillId="3" borderId="2" xfId="11" applyFont="1" applyFill="1">
      <alignment horizontal="center" vertical="center"/>
    </xf>
    <xf numFmtId="168" fontId="5" fillId="7" borderId="2" xfId="2" applyNumberFormat="1" applyFont="1" applyFill="1" applyBorder="1" applyAlignment="1">
      <alignment horizontal="center" vertical="center"/>
    </xf>
    <xf numFmtId="16" fontId="0" fillId="0" borderId="3" xfId="0" applyNumberFormat="1" applyBorder="1" applyAlignment="1">
      <alignment horizontal="center" vertical="center"/>
    </xf>
    <xf numFmtId="0" fontId="0" fillId="4" borderId="2" xfId="11" applyFont="1" applyFill="1">
      <alignment horizontal="center" vertical="center"/>
    </xf>
    <xf numFmtId="0" fontId="9" fillId="0" borderId="0" xfId="8">
      <alignment horizontal="right" indent="1"/>
    </xf>
    <xf numFmtId="0" fontId="9" fillId="0" borderId="7" xfId="8" applyBorder="1">
      <alignment horizontal="right" indent="1"/>
    </xf>
    <xf numFmtId="0" fontId="0" fillId="0" borderId="10" xfId="0" applyBorder="1"/>
    <xf numFmtId="166" fontId="0" fillId="5" borderId="4" xfId="0" applyNumberFormat="1" applyFill="1" applyBorder="1" applyAlignment="1">
      <alignment horizontal="left" vertical="center" wrapText="1" indent="1"/>
    </xf>
    <xf numFmtId="166" fontId="0" fillId="5" borderId="1" xfId="0" applyNumberFormat="1" applyFill="1" applyBorder="1" applyAlignment="1">
      <alignment horizontal="left" vertical="center" wrapText="1" indent="1"/>
    </xf>
    <xf numFmtId="166" fontId="0" fillId="5" borderId="5" xfId="0" applyNumberFormat="1" applyFill="1" applyBorder="1" applyAlignment="1">
      <alignment horizontal="left" vertical="center" wrapText="1" indent="1"/>
    </xf>
    <xf numFmtId="165" fontId="9" fillId="0" borderId="3" xfId="9">
      <alignment horizontal="center" vertical="center"/>
    </xf>
    <xf numFmtId="0" fontId="6" fillId="10" borderId="2" xfId="12" applyFont="1" applyFill="1">
      <alignment horizontal="left" vertical="center" indent="2"/>
    </xf>
    <xf numFmtId="0" fontId="0" fillId="10" borderId="2" xfId="11" applyFont="1" applyFill="1">
      <alignment horizontal="center" vertical="center"/>
    </xf>
    <xf numFmtId="9" fontId="5" fillId="10" borderId="2" xfId="2" applyFont="1" applyFill="1" applyBorder="1" applyAlignment="1">
      <alignment horizontal="center" vertical="center"/>
    </xf>
    <xf numFmtId="164" fontId="9" fillId="10" borderId="2" xfId="10" applyFill="1">
      <alignment horizontal="center" vertical="center"/>
    </xf>
    <xf numFmtId="0" fontId="0" fillId="11" borderId="2" xfId="12" applyFont="1" applyFill="1">
      <alignment horizontal="left" vertical="center" indent="2"/>
    </xf>
    <xf numFmtId="0" fontId="0" fillId="11" borderId="2" xfId="11" applyFont="1" applyFill="1">
      <alignment horizontal="center" vertical="center"/>
    </xf>
    <xf numFmtId="9" fontId="5" fillId="11" borderId="2" xfId="2" applyFont="1" applyFill="1" applyBorder="1" applyAlignment="1">
      <alignment horizontal="center" vertical="center"/>
    </xf>
    <xf numFmtId="164" fontId="9" fillId="11" borderId="2" xfId="10" applyFill="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1"/>
  <sheetViews>
    <sheetView showGridLines="0" tabSelected="1" showRuler="0" zoomScaleNormal="100" zoomScalePageLayoutView="70" workbookViewId="0">
      <pane ySplit="6" topLeftCell="A8" activePane="bottomLeft" state="frozen"/>
      <selection pane="bottomLeft" activeCell="B4" sqref="B4"/>
    </sheetView>
  </sheetViews>
  <sheetFormatPr defaultRowHeight="30" customHeight="1" x14ac:dyDescent="0.25"/>
  <cols>
    <col min="1" max="1" width="2.7109375" style="46" customWidth="1"/>
    <col min="2" max="2" width="36.7109375" bestFit="1"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47" t="s">
        <v>28</v>
      </c>
      <c r="B1" s="51" t="s">
        <v>35</v>
      </c>
      <c r="C1" s="1"/>
      <c r="D1" s="2"/>
      <c r="E1" s="4"/>
      <c r="F1" s="35"/>
      <c r="H1" s="2"/>
      <c r="I1" s="13" t="s">
        <v>12</v>
      </c>
    </row>
    <row r="2" spans="1:64" ht="30" customHeight="1" x14ac:dyDescent="0.3">
      <c r="A2" s="46" t="s">
        <v>24</v>
      </c>
      <c r="B2" s="52" t="s">
        <v>36</v>
      </c>
      <c r="I2" s="49" t="s">
        <v>17</v>
      </c>
    </row>
    <row r="3" spans="1:64" ht="30" customHeight="1" x14ac:dyDescent="0.25">
      <c r="A3" s="46" t="s">
        <v>29</v>
      </c>
      <c r="B3" s="53"/>
      <c r="C3" s="67" t="s">
        <v>1</v>
      </c>
      <c r="D3" s="68"/>
      <c r="E3" s="73">
        <v>46055</v>
      </c>
      <c r="F3" s="73"/>
    </row>
    <row r="4" spans="1:64" ht="30" customHeight="1" x14ac:dyDescent="0.25">
      <c r="A4" s="47" t="s">
        <v>30</v>
      </c>
      <c r="C4" s="67" t="s">
        <v>8</v>
      </c>
      <c r="D4" s="68"/>
      <c r="E4" s="65">
        <v>1</v>
      </c>
      <c r="I4" s="70">
        <f>I5</f>
        <v>46055</v>
      </c>
      <c r="J4" s="71"/>
      <c r="K4" s="71"/>
      <c r="L4" s="71"/>
      <c r="M4" s="71"/>
      <c r="N4" s="71"/>
      <c r="O4" s="72"/>
      <c r="P4" s="70">
        <f>P5</f>
        <v>46062</v>
      </c>
      <c r="Q4" s="71"/>
      <c r="R4" s="71"/>
      <c r="S4" s="71"/>
      <c r="T4" s="71"/>
      <c r="U4" s="71"/>
      <c r="V4" s="72"/>
      <c r="W4" s="70">
        <f>W5</f>
        <v>46069</v>
      </c>
      <c r="X4" s="71"/>
      <c r="Y4" s="71"/>
      <c r="Z4" s="71"/>
      <c r="AA4" s="71"/>
      <c r="AB4" s="71"/>
      <c r="AC4" s="72"/>
      <c r="AD4" s="70">
        <f>AD5</f>
        <v>46076</v>
      </c>
      <c r="AE4" s="71"/>
      <c r="AF4" s="71"/>
      <c r="AG4" s="71"/>
      <c r="AH4" s="71"/>
      <c r="AI4" s="71"/>
      <c r="AJ4" s="72"/>
      <c r="AK4" s="70">
        <f>AK5</f>
        <v>46083</v>
      </c>
      <c r="AL4" s="71"/>
      <c r="AM4" s="71"/>
      <c r="AN4" s="71"/>
      <c r="AO4" s="71"/>
      <c r="AP4" s="71"/>
      <c r="AQ4" s="72"/>
      <c r="AR4" s="70">
        <f>AR5</f>
        <v>46090</v>
      </c>
      <c r="AS4" s="71"/>
      <c r="AT4" s="71"/>
      <c r="AU4" s="71"/>
      <c r="AV4" s="71"/>
      <c r="AW4" s="71"/>
      <c r="AX4" s="72"/>
      <c r="AY4" s="70">
        <f>AY5</f>
        <v>46097</v>
      </c>
      <c r="AZ4" s="71"/>
      <c r="BA4" s="71"/>
      <c r="BB4" s="71"/>
      <c r="BC4" s="71"/>
      <c r="BD4" s="71"/>
      <c r="BE4" s="72"/>
      <c r="BF4" s="70">
        <f>BF5</f>
        <v>46104</v>
      </c>
      <c r="BG4" s="71"/>
      <c r="BH4" s="71"/>
      <c r="BI4" s="71"/>
      <c r="BJ4" s="71"/>
      <c r="BK4" s="71"/>
      <c r="BL4" s="72"/>
    </row>
    <row r="5" spans="1:64" ht="15" customHeight="1" x14ac:dyDescent="0.25">
      <c r="A5" s="47" t="s">
        <v>31</v>
      </c>
      <c r="B5" s="69"/>
      <c r="C5" s="69"/>
      <c r="D5" s="69"/>
      <c r="E5" s="69"/>
      <c r="F5" s="69"/>
      <c r="G5" s="69"/>
      <c r="I5" s="10">
        <f>Project_Start-WEEKDAY(Project_Start,1)+2+7*(Display_Week-1)</f>
        <v>46055</v>
      </c>
      <c r="J5" s="9">
        <f>I5+1</f>
        <v>46056</v>
      </c>
      <c r="K5" s="9">
        <f t="shared" ref="K5:AX5" si="0">J5+1</f>
        <v>46057</v>
      </c>
      <c r="L5" s="9">
        <f t="shared" si="0"/>
        <v>46058</v>
      </c>
      <c r="M5" s="9">
        <f t="shared" si="0"/>
        <v>46059</v>
      </c>
      <c r="N5" s="9">
        <f t="shared" si="0"/>
        <v>46060</v>
      </c>
      <c r="O5" s="11">
        <f t="shared" si="0"/>
        <v>46061</v>
      </c>
      <c r="P5" s="10">
        <f>O5+1</f>
        <v>46062</v>
      </c>
      <c r="Q5" s="9">
        <f>P5+1</f>
        <v>46063</v>
      </c>
      <c r="R5" s="9">
        <f t="shared" si="0"/>
        <v>46064</v>
      </c>
      <c r="S5" s="9">
        <f t="shared" si="0"/>
        <v>46065</v>
      </c>
      <c r="T5" s="9">
        <f t="shared" si="0"/>
        <v>46066</v>
      </c>
      <c r="U5" s="9">
        <f t="shared" si="0"/>
        <v>46067</v>
      </c>
      <c r="V5" s="11">
        <f t="shared" si="0"/>
        <v>46068</v>
      </c>
      <c r="W5" s="10">
        <f>V5+1</f>
        <v>46069</v>
      </c>
      <c r="X5" s="9">
        <f>W5+1</f>
        <v>46070</v>
      </c>
      <c r="Y5" s="9">
        <f t="shared" si="0"/>
        <v>46071</v>
      </c>
      <c r="Z5" s="9">
        <f t="shared" si="0"/>
        <v>46072</v>
      </c>
      <c r="AA5" s="9">
        <f t="shared" si="0"/>
        <v>46073</v>
      </c>
      <c r="AB5" s="9">
        <f t="shared" si="0"/>
        <v>46074</v>
      </c>
      <c r="AC5" s="11">
        <f t="shared" si="0"/>
        <v>46075</v>
      </c>
      <c r="AD5" s="10">
        <f>AC5+1</f>
        <v>46076</v>
      </c>
      <c r="AE5" s="9">
        <f>AD5+1</f>
        <v>46077</v>
      </c>
      <c r="AF5" s="9">
        <f t="shared" si="0"/>
        <v>46078</v>
      </c>
      <c r="AG5" s="9">
        <f t="shared" si="0"/>
        <v>46079</v>
      </c>
      <c r="AH5" s="9">
        <f t="shared" si="0"/>
        <v>46080</v>
      </c>
      <c r="AI5" s="9">
        <f t="shared" si="0"/>
        <v>46081</v>
      </c>
      <c r="AJ5" s="11">
        <f t="shared" si="0"/>
        <v>46082</v>
      </c>
      <c r="AK5" s="10">
        <f>AJ5+1</f>
        <v>46083</v>
      </c>
      <c r="AL5" s="9">
        <f>AK5+1</f>
        <v>46084</v>
      </c>
      <c r="AM5" s="9">
        <f t="shared" si="0"/>
        <v>46085</v>
      </c>
      <c r="AN5" s="9">
        <f t="shared" si="0"/>
        <v>46086</v>
      </c>
      <c r="AO5" s="9">
        <f t="shared" si="0"/>
        <v>46087</v>
      </c>
      <c r="AP5" s="9">
        <f t="shared" si="0"/>
        <v>46088</v>
      </c>
      <c r="AQ5" s="11">
        <f t="shared" si="0"/>
        <v>46089</v>
      </c>
      <c r="AR5" s="10">
        <f>AQ5+1</f>
        <v>46090</v>
      </c>
      <c r="AS5" s="9">
        <f>AR5+1</f>
        <v>46091</v>
      </c>
      <c r="AT5" s="9">
        <f t="shared" si="0"/>
        <v>46092</v>
      </c>
      <c r="AU5" s="9">
        <f t="shared" si="0"/>
        <v>46093</v>
      </c>
      <c r="AV5" s="9">
        <f t="shared" si="0"/>
        <v>46094</v>
      </c>
      <c r="AW5" s="9">
        <f t="shared" si="0"/>
        <v>46095</v>
      </c>
      <c r="AX5" s="11">
        <f t="shared" si="0"/>
        <v>46096</v>
      </c>
      <c r="AY5" s="10">
        <f>AX5+1</f>
        <v>46097</v>
      </c>
      <c r="AZ5" s="9">
        <f>AY5+1</f>
        <v>46098</v>
      </c>
      <c r="BA5" s="9">
        <f t="shared" ref="BA5:BE5" si="1">AZ5+1</f>
        <v>46099</v>
      </c>
      <c r="BB5" s="9">
        <f t="shared" si="1"/>
        <v>46100</v>
      </c>
      <c r="BC5" s="9">
        <f t="shared" si="1"/>
        <v>46101</v>
      </c>
      <c r="BD5" s="9">
        <f t="shared" si="1"/>
        <v>46102</v>
      </c>
      <c r="BE5" s="11">
        <f t="shared" si="1"/>
        <v>46103</v>
      </c>
      <c r="BF5" s="10">
        <f>BE5+1</f>
        <v>46104</v>
      </c>
      <c r="BG5" s="9">
        <f>BF5+1</f>
        <v>46105</v>
      </c>
      <c r="BH5" s="9">
        <f t="shared" ref="BH5:BL5" si="2">BG5+1</f>
        <v>46106</v>
      </c>
      <c r="BI5" s="9">
        <f t="shared" si="2"/>
        <v>46107</v>
      </c>
      <c r="BJ5" s="9">
        <f t="shared" si="2"/>
        <v>46108</v>
      </c>
      <c r="BK5" s="9">
        <f t="shared" si="2"/>
        <v>46109</v>
      </c>
      <c r="BL5" s="11">
        <f t="shared" si="2"/>
        <v>46110</v>
      </c>
    </row>
    <row r="6" spans="1:64" ht="30" customHeight="1" thickBot="1" x14ac:dyDescent="0.3">
      <c r="A6" s="47" t="s">
        <v>32</v>
      </c>
      <c r="B6" s="7" t="s">
        <v>9</v>
      </c>
      <c r="C6" s="8" t="s">
        <v>3</v>
      </c>
      <c r="D6" s="8" t="s">
        <v>2</v>
      </c>
      <c r="E6" s="8" t="s">
        <v>5</v>
      </c>
      <c r="F6" s="8" t="s">
        <v>6</v>
      </c>
      <c r="G6" s="8"/>
      <c r="H6" s="8" t="s">
        <v>7</v>
      </c>
      <c r="I6" s="12" t="str">
        <f t="shared" ref="I6" si="3">LEFT(TEXT(I5,"ddd"),1)</f>
        <v>M</v>
      </c>
      <c r="J6" s="12" t="str">
        <f t="shared" ref="J6:AR6" si="4">LEFT(TEXT(J5,"ddd"),1)</f>
        <v>T</v>
      </c>
      <c r="K6" s="12" t="str">
        <f t="shared" si="4"/>
        <v>W</v>
      </c>
      <c r="L6" s="12" t="str">
        <f t="shared" si="4"/>
        <v>T</v>
      </c>
      <c r="M6" s="12" t="str">
        <f t="shared" si="4"/>
        <v>F</v>
      </c>
      <c r="N6" s="12" t="str">
        <f t="shared" si="4"/>
        <v>S</v>
      </c>
      <c r="O6" s="12" t="str">
        <f t="shared" si="4"/>
        <v>S</v>
      </c>
      <c r="P6" s="12" t="str">
        <f t="shared" si="4"/>
        <v>M</v>
      </c>
      <c r="Q6" s="12" t="str">
        <f t="shared" si="4"/>
        <v>T</v>
      </c>
      <c r="R6" s="12" t="str">
        <f t="shared" si="4"/>
        <v>W</v>
      </c>
      <c r="S6" s="12" t="str">
        <f t="shared" si="4"/>
        <v>T</v>
      </c>
      <c r="T6" s="12" t="str">
        <f t="shared" si="4"/>
        <v>F</v>
      </c>
      <c r="U6" s="12" t="str">
        <f t="shared" si="4"/>
        <v>S</v>
      </c>
      <c r="V6" s="12" t="str">
        <f t="shared" si="4"/>
        <v>S</v>
      </c>
      <c r="W6" s="12" t="str">
        <f t="shared" si="4"/>
        <v>M</v>
      </c>
      <c r="X6" s="12" t="str">
        <f t="shared" si="4"/>
        <v>T</v>
      </c>
      <c r="Y6" s="12" t="str">
        <f t="shared" si="4"/>
        <v>W</v>
      </c>
      <c r="Z6" s="12" t="str">
        <f t="shared" si="4"/>
        <v>T</v>
      </c>
      <c r="AA6" s="12" t="str">
        <f t="shared" si="4"/>
        <v>F</v>
      </c>
      <c r="AB6" s="12" t="str">
        <f t="shared" si="4"/>
        <v>S</v>
      </c>
      <c r="AC6" s="12" t="str">
        <f t="shared" si="4"/>
        <v>S</v>
      </c>
      <c r="AD6" s="12" t="str">
        <f t="shared" si="4"/>
        <v>M</v>
      </c>
      <c r="AE6" s="12" t="str">
        <f t="shared" si="4"/>
        <v>T</v>
      </c>
      <c r="AF6" s="12" t="str">
        <f t="shared" si="4"/>
        <v>W</v>
      </c>
      <c r="AG6" s="12" t="str">
        <f t="shared" si="4"/>
        <v>T</v>
      </c>
      <c r="AH6" s="12" t="str">
        <f t="shared" si="4"/>
        <v>F</v>
      </c>
      <c r="AI6" s="12" t="str">
        <f t="shared" si="4"/>
        <v>S</v>
      </c>
      <c r="AJ6" s="12" t="str">
        <f t="shared" si="4"/>
        <v>S</v>
      </c>
      <c r="AK6" s="12" t="str">
        <f t="shared" si="4"/>
        <v>M</v>
      </c>
      <c r="AL6" s="12" t="str">
        <f t="shared" si="4"/>
        <v>T</v>
      </c>
      <c r="AM6" s="12" t="str">
        <f t="shared" si="4"/>
        <v>W</v>
      </c>
      <c r="AN6" s="12" t="str">
        <f t="shared" si="4"/>
        <v>T</v>
      </c>
      <c r="AO6" s="12" t="str">
        <f t="shared" si="4"/>
        <v>F</v>
      </c>
      <c r="AP6" s="12" t="str">
        <f t="shared" si="4"/>
        <v>S</v>
      </c>
      <c r="AQ6" s="12" t="str">
        <f t="shared" si="4"/>
        <v>S</v>
      </c>
      <c r="AR6" s="12" t="str">
        <f t="shared" si="4"/>
        <v>M</v>
      </c>
      <c r="AS6" s="12" t="str">
        <f t="shared" ref="AS6:BL6" si="5">LEFT(TEXT(AS5,"ddd"),1)</f>
        <v>T</v>
      </c>
      <c r="AT6" s="12" t="str">
        <f t="shared" si="5"/>
        <v>W</v>
      </c>
      <c r="AU6" s="12" t="str">
        <f t="shared" si="5"/>
        <v>T</v>
      </c>
      <c r="AV6" s="12" t="str">
        <f t="shared" si="5"/>
        <v>F</v>
      </c>
      <c r="AW6" s="12" t="str">
        <f t="shared" si="5"/>
        <v>S</v>
      </c>
      <c r="AX6" s="12" t="str">
        <f t="shared" si="5"/>
        <v>S</v>
      </c>
      <c r="AY6" s="12" t="str">
        <f t="shared" si="5"/>
        <v>M</v>
      </c>
      <c r="AZ6" s="12" t="str">
        <f t="shared" si="5"/>
        <v>T</v>
      </c>
      <c r="BA6" s="12" t="str">
        <f t="shared" si="5"/>
        <v>W</v>
      </c>
      <c r="BB6" s="12" t="str">
        <f t="shared" si="5"/>
        <v>T</v>
      </c>
      <c r="BC6" s="12" t="str">
        <f t="shared" si="5"/>
        <v>F</v>
      </c>
      <c r="BD6" s="12" t="str">
        <f t="shared" si="5"/>
        <v>S</v>
      </c>
      <c r="BE6" s="12" t="str">
        <f t="shared" si="5"/>
        <v>S</v>
      </c>
      <c r="BF6" s="12" t="str">
        <f t="shared" si="5"/>
        <v>M</v>
      </c>
      <c r="BG6" s="12" t="str">
        <f t="shared" si="5"/>
        <v>T</v>
      </c>
      <c r="BH6" s="12" t="str">
        <f t="shared" si="5"/>
        <v>W</v>
      </c>
      <c r="BI6" s="12" t="str">
        <f t="shared" si="5"/>
        <v>T</v>
      </c>
      <c r="BJ6" s="12" t="str">
        <f t="shared" si="5"/>
        <v>F</v>
      </c>
      <c r="BK6" s="12" t="str">
        <f t="shared" si="5"/>
        <v>S</v>
      </c>
      <c r="BL6" s="12" t="str">
        <f t="shared" si="5"/>
        <v>S</v>
      </c>
    </row>
    <row r="7" spans="1:64" ht="30" hidden="1" customHeight="1" thickBot="1" x14ac:dyDescent="0.3">
      <c r="A7" s="46" t="s">
        <v>27</v>
      </c>
      <c r="C7" s="50"/>
      <c r="E7"/>
      <c r="H7" t="str">
        <f>IF(OR(ISBLANK(task_start),ISBLANK(task_end)),"",task_end-task_start+1)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spans="1:64" s="3" customFormat="1" ht="30" customHeight="1" thickBot="1" x14ac:dyDescent="0.3">
      <c r="A8" s="47" t="s">
        <v>33</v>
      </c>
      <c r="B8" s="17" t="s">
        <v>37</v>
      </c>
      <c r="C8" s="57"/>
      <c r="D8" s="18">
        <f>SUM(D9:D12)/COUNT(D9:D12)</f>
        <v>1</v>
      </c>
      <c r="E8" s="19">
        <v>46055</v>
      </c>
      <c r="F8" s="20">
        <v>46055</v>
      </c>
      <c r="G8" s="16"/>
      <c r="H8" s="16">
        <f t="shared" ref="H8:H28" si="6">IF(OR(ISBLANK(task_start),ISBLANK(task_end)),"",task_end-task_start+1)</f>
        <v>1</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row>
    <row r="9" spans="1:64" s="3" customFormat="1" ht="30" customHeight="1" thickBot="1" x14ac:dyDescent="0.3">
      <c r="A9" s="47"/>
      <c r="B9" s="61" t="s">
        <v>38</v>
      </c>
      <c r="C9" s="63" t="s">
        <v>42</v>
      </c>
      <c r="D9" s="21">
        <v>1</v>
      </c>
      <c r="E9" s="54">
        <f>E8</f>
        <v>46055</v>
      </c>
      <c r="F9" s="54">
        <f t="shared" ref="F9:F12" si="7">E9</f>
        <v>46055</v>
      </c>
      <c r="G9" s="16"/>
      <c r="H9" s="16"/>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row>
    <row r="10" spans="1:64" s="3" customFormat="1" ht="30" customHeight="1" thickBot="1" x14ac:dyDescent="0.3">
      <c r="A10" s="47"/>
      <c r="B10" s="61" t="s">
        <v>39</v>
      </c>
      <c r="C10" s="63" t="s">
        <v>42</v>
      </c>
      <c r="D10" s="21">
        <v>1</v>
      </c>
      <c r="E10" s="54">
        <f>E9</f>
        <v>46055</v>
      </c>
      <c r="F10" s="54">
        <f t="shared" si="7"/>
        <v>46055</v>
      </c>
      <c r="G10" s="16"/>
      <c r="H10" s="16"/>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spans="1:64" s="3" customFormat="1" ht="30" customHeight="1" thickBot="1" x14ac:dyDescent="0.3">
      <c r="A11" s="47"/>
      <c r="B11" s="61" t="s">
        <v>40</v>
      </c>
      <c r="C11" s="63" t="s">
        <v>42</v>
      </c>
      <c r="D11" s="21">
        <v>1</v>
      </c>
      <c r="E11" s="54">
        <f>E10</f>
        <v>46055</v>
      </c>
      <c r="F11" s="54">
        <f t="shared" si="7"/>
        <v>46055</v>
      </c>
      <c r="G11" s="16"/>
      <c r="H11" s="16"/>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row>
    <row r="12" spans="1:64" s="3" customFormat="1" ht="30" customHeight="1" thickBot="1" x14ac:dyDescent="0.3">
      <c r="A12" s="47"/>
      <c r="B12" s="61" t="s">
        <v>41</v>
      </c>
      <c r="C12" s="63" t="s">
        <v>42</v>
      </c>
      <c r="D12" s="21">
        <v>1</v>
      </c>
      <c r="E12" s="54">
        <f>E11</f>
        <v>46055</v>
      </c>
      <c r="F12" s="54">
        <f t="shared" si="7"/>
        <v>46055</v>
      </c>
      <c r="G12" s="16"/>
      <c r="H12" s="16"/>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row>
    <row r="13" spans="1:64" s="3" customFormat="1" ht="30" customHeight="1" thickBot="1" x14ac:dyDescent="0.3">
      <c r="A13" s="47" t="s">
        <v>34</v>
      </c>
      <c r="B13" s="22" t="s">
        <v>43</v>
      </c>
      <c r="C13" s="58"/>
      <c r="D13" s="64">
        <f>SUM(D14:D20)/COUNT(D14:D20)</f>
        <v>3.5714285714285712E-2</v>
      </c>
      <c r="E13" s="23">
        <v>46056</v>
      </c>
      <c r="F13" s="24">
        <v>46061</v>
      </c>
      <c r="G13" s="16"/>
      <c r="H13" s="16">
        <f t="shared" si="6"/>
        <v>6</v>
      </c>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row>
    <row r="14" spans="1:64" s="3" customFormat="1" ht="30" customHeight="1" thickBot="1" x14ac:dyDescent="0.3">
      <c r="A14" s="47"/>
      <c r="B14" s="62" t="s">
        <v>44</v>
      </c>
      <c r="C14" s="66" t="s">
        <v>42</v>
      </c>
      <c r="D14" s="25">
        <v>0.25</v>
      </c>
      <c r="E14" s="55">
        <v>46056</v>
      </c>
      <c r="F14" s="55">
        <v>46059</v>
      </c>
      <c r="G14" s="16"/>
      <c r="H14" s="16"/>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row>
    <row r="15" spans="1:64" s="3" customFormat="1" ht="30" customHeight="1" thickBot="1" x14ac:dyDescent="0.3">
      <c r="A15" s="47"/>
      <c r="B15" s="62" t="s">
        <v>45</v>
      </c>
      <c r="C15" s="66" t="s">
        <v>42</v>
      </c>
      <c r="D15" s="25">
        <v>0</v>
      </c>
      <c r="E15" s="55">
        <v>46056</v>
      </c>
      <c r="F15" s="55">
        <v>46059</v>
      </c>
      <c r="G15" s="16"/>
      <c r="H15" s="16"/>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row>
    <row r="16" spans="1:64" s="3" customFormat="1" ht="30" customHeight="1" thickBot="1" x14ac:dyDescent="0.3">
      <c r="A16" s="47"/>
      <c r="B16" s="62" t="s">
        <v>46</v>
      </c>
      <c r="C16" s="66" t="s">
        <v>42</v>
      </c>
      <c r="D16" s="25">
        <v>0</v>
      </c>
      <c r="E16" s="55">
        <v>46056</v>
      </c>
      <c r="F16" s="55">
        <v>46059</v>
      </c>
      <c r="G16" s="16"/>
      <c r="H16" s="16"/>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row>
    <row r="17" spans="1:64" s="3" customFormat="1" ht="30" customHeight="1" thickBot="1" x14ac:dyDescent="0.3">
      <c r="A17" s="47"/>
      <c r="B17" s="62" t="s">
        <v>47</v>
      </c>
      <c r="C17" s="66" t="s">
        <v>42</v>
      </c>
      <c r="D17" s="25">
        <v>0</v>
      </c>
      <c r="E17" s="55">
        <v>46056</v>
      </c>
      <c r="F17" s="55">
        <v>46059</v>
      </c>
      <c r="G17" s="16"/>
      <c r="H17" s="16"/>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row>
    <row r="18" spans="1:64" s="3" customFormat="1" ht="30" customHeight="1" thickBot="1" x14ac:dyDescent="0.3">
      <c r="A18" s="47"/>
      <c r="B18" s="62" t="s">
        <v>48</v>
      </c>
      <c r="C18" s="66" t="s">
        <v>42</v>
      </c>
      <c r="D18" s="25">
        <v>0</v>
      </c>
      <c r="E18" s="55">
        <v>46056</v>
      </c>
      <c r="F18" s="55">
        <v>46061</v>
      </c>
      <c r="G18" s="16"/>
      <c r="H18" s="16"/>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row>
    <row r="19" spans="1:64" s="3" customFormat="1" ht="30" customHeight="1" thickBot="1" x14ac:dyDescent="0.3">
      <c r="A19" s="47"/>
      <c r="B19" s="62" t="s">
        <v>49</v>
      </c>
      <c r="C19" s="66" t="s">
        <v>42</v>
      </c>
      <c r="D19" s="25">
        <v>0</v>
      </c>
      <c r="E19" s="55">
        <v>46056</v>
      </c>
      <c r="F19" s="55">
        <v>46061</v>
      </c>
      <c r="G19" s="16"/>
      <c r="H19" s="16"/>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row>
    <row r="20" spans="1:64" s="3" customFormat="1" ht="30" customHeight="1" thickBot="1" x14ac:dyDescent="0.3">
      <c r="A20" s="47"/>
      <c r="B20" s="62" t="s">
        <v>50</v>
      </c>
      <c r="C20" s="66" t="s">
        <v>42</v>
      </c>
      <c r="D20" s="25">
        <v>0</v>
      </c>
      <c r="E20" s="55">
        <v>46056</v>
      </c>
      <c r="F20" s="55">
        <v>46061</v>
      </c>
      <c r="G20" s="16"/>
      <c r="H20" s="16"/>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row>
    <row r="21" spans="1:64" s="3" customFormat="1" ht="30" customHeight="1" thickBot="1" x14ac:dyDescent="0.3">
      <c r="A21" s="47"/>
      <c r="B21" s="74" t="s">
        <v>51</v>
      </c>
      <c r="C21" s="75"/>
      <c r="D21" s="76">
        <f>SUM(D22:D26)/COUNT(D22:D26)</f>
        <v>0</v>
      </c>
      <c r="E21" s="77">
        <v>46061</v>
      </c>
      <c r="F21" s="77">
        <v>46068</v>
      </c>
      <c r="G21" s="16"/>
      <c r="H21" s="16"/>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row>
    <row r="22" spans="1:64" s="3" customFormat="1" ht="30" customHeight="1" thickBot="1" x14ac:dyDescent="0.3">
      <c r="A22" s="47"/>
      <c r="B22" s="78" t="s">
        <v>52</v>
      </c>
      <c r="C22" s="79" t="s">
        <v>42</v>
      </c>
      <c r="D22" s="80">
        <v>0</v>
      </c>
      <c r="E22" s="81">
        <v>46061</v>
      </c>
      <c r="F22" s="81">
        <v>46068</v>
      </c>
      <c r="G22" s="16"/>
      <c r="H22" s="16"/>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row>
    <row r="23" spans="1:64" s="3" customFormat="1" ht="30" customHeight="1" thickBot="1" x14ac:dyDescent="0.3">
      <c r="A23" s="47"/>
      <c r="B23" s="78" t="s">
        <v>55</v>
      </c>
      <c r="C23" s="79" t="s">
        <v>42</v>
      </c>
      <c r="D23" s="80">
        <v>0</v>
      </c>
      <c r="E23" s="81">
        <v>46061</v>
      </c>
      <c r="F23" s="81">
        <v>46068</v>
      </c>
      <c r="G23" s="16"/>
      <c r="H23" s="16"/>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row>
    <row r="24" spans="1:64" s="3" customFormat="1" ht="30" customHeight="1" thickBot="1" x14ac:dyDescent="0.3">
      <c r="A24" s="47"/>
      <c r="B24" s="78" t="s">
        <v>53</v>
      </c>
      <c r="C24" s="79" t="s">
        <v>42</v>
      </c>
      <c r="D24" s="80">
        <v>0</v>
      </c>
      <c r="E24" s="81">
        <v>46061</v>
      </c>
      <c r="F24" s="81">
        <v>46068</v>
      </c>
      <c r="G24" s="16"/>
      <c r="H24" s="16"/>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row>
    <row r="25" spans="1:64" s="3" customFormat="1" ht="30" customHeight="1" thickBot="1" x14ac:dyDescent="0.3">
      <c r="A25" s="47"/>
      <c r="B25" s="78" t="s">
        <v>54</v>
      </c>
      <c r="C25" s="79" t="s">
        <v>42</v>
      </c>
      <c r="D25" s="80">
        <v>0</v>
      </c>
      <c r="E25" s="81">
        <v>46061</v>
      </c>
      <c r="F25" s="81">
        <v>46068</v>
      </c>
      <c r="G25" s="16"/>
      <c r="H25" s="16"/>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row>
    <row r="26" spans="1:64" s="3" customFormat="1" ht="30" customHeight="1" thickBot="1" x14ac:dyDescent="0.3">
      <c r="A26" s="46"/>
      <c r="B26" s="78" t="s">
        <v>56</v>
      </c>
      <c r="C26" s="79" t="s">
        <v>42</v>
      </c>
      <c r="D26" s="80">
        <v>0</v>
      </c>
      <c r="E26" s="81">
        <v>46061</v>
      </c>
      <c r="F26" s="81">
        <v>46068</v>
      </c>
      <c r="G26" s="16"/>
      <c r="H26" s="16">
        <f t="shared" si="6"/>
        <v>8</v>
      </c>
      <c r="I26" s="32"/>
      <c r="J26" s="32"/>
      <c r="K26" s="32"/>
      <c r="L26" s="32"/>
      <c r="M26" s="32"/>
      <c r="N26" s="32"/>
      <c r="O26" s="32"/>
      <c r="P26" s="32"/>
      <c r="Q26" s="32"/>
      <c r="R26" s="32"/>
      <c r="S26" s="32"/>
      <c r="T26" s="32"/>
      <c r="U26" s="33"/>
      <c r="V26" s="33"/>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row>
    <row r="27" spans="1:64" s="3" customFormat="1" ht="30" customHeight="1" thickBot="1" x14ac:dyDescent="0.3">
      <c r="A27" s="46" t="s">
        <v>26</v>
      </c>
      <c r="B27" s="60"/>
      <c r="C27" s="59"/>
      <c r="D27" s="15"/>
      <c r="E27" s="56"/>
      <c r="F27" s="56"/>
      <c r="G27" s="16"/>
      <c r="H27" s="16" t="str">
        <f t="shared" si="6"/>
        <v/>
      </c>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row>
    <row r="28" spans="1:64" s="3" customFormat="1" ht="30" customHeight="1" thickBot="1" x14ac:dyDescent="0.3">
      <c r="A28" s="47" t="s">
        <v>25</v>
      </c>
      <c r="B28" s="26" t="s">
        <v>0</v>
      </c>
      <c r="C28" s="27"/>
      <c r="D28" s="28"/>
      <c r="E28" s="29"/>
      <c r="F28" s="30"/>
      <c r="G28" s="31"/>
      <c r="H28" s="31" t="str">
        <f t="shared" si="6"/>
        <v/>
      </c>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row>
    <row r="29" spans="1:64" ht="30" customHeight="1" x14ac:dyDescent="0.25">
      <c r="G29" s="6"/>
    </row>
    <row r="30" spans="1:64" ht="30" customHeight="1" x14ac:dyDescent="0.25">
      <c r="C30" s="13"/>
      <c r="F30" s="48"/>
    </row>
    <row r="31" spans="1:64" ht="30" customHeight="1" x14ac:dyDescent="0.25">
      <c r="C31" s="14"/>
    </row>
  </sheetData>
  <mergeCells count="12">
    <mergeCell ref="AY4:BE4"/>
    <mergeCell ref="BF4:BL4"/>
    <mergeCell ref="E3:F3"/>
    <mergeCell ref="I4:O4"/>
    <mergeCell ref="P4:V4"/>
    <mergeCell ref="W4:AC4"/>
    <mergeCell ref="AD4:AJ4"/>
    <mergeCell ref="C3:D3"/>
    <mergeCell ref="C4:D4"/>
    <mergeCell ref="B5:G5"/>
    <mergeCell ref="AK4:AQ4"/>
    <mergeCell ref="AR4:AX4"/>
  </mergeCells>
  <conditionalFormatting sqref="D7:D28">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8">
    <cfRule type="expression" dxfId="2" priority="33">
      <formula>AND(TODAY()&gt;=I$5,TODAY()&lt;J$5)</formula>
    </cfRule>
  </conditionalFormatting>
  <conditionalFormatting sqref="I7:BL28">
    <cfRule type="expression" dxfId="1" priority="27">
      <formula>AND(task_start&lt;=I$5,ROUNDDOWN((task_end-task_start+1)*task_progress,0)+task_start-1&gt;=I$5)</formula>
    </cfRule>
    <cfRule type="expression" dxfId="0" priority="28" stopIfTrue="1">
      <formula>AND(task_end&gt;=I$5,task_start&lt;J$5)</formula>
    </cfRule>
  </conditionalFormatting>
  <dataValidations disablePrompts="1"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RowHeight="12.75" x14ac:dyDescent="0.2"/>
  <cols>
    <col min="1" max="1" width="87.140625" style="36" customWidth="1"/>
    <col min="2" max="16384" width="9.140625" style="2"/>
  </cols>
  <sheetData>
    <row r="1" spans="1:2" ht="46.5" customHeight="1" x14ac:dyDescent="0.2"/>
    <row r="2" spans="1:2" s="38" customFormat="1" ht="15.75" x14ac:dyDescent="0.25">
      <c r="A2" s="37" t="s">
        <v>12</v>
      </c>
      <c r="B2" s="37"/>
    </row>
    <row r="3" spans="1:2" s="42" customFormat="1" ht="27" customHeight="1" x14ac:dyDescent="0.25">
      <c r="A3" s="43" t="s">
        <v>17</v>
      </c>
      <c r="B3" s="43"/>
    </row>
    <row r="4" spans="1:2" s="39" customFormat="1" ht="26.25" x14ac:dyDescent="0.4">
      <c r="A4" s="40" t="s">
        <v>11</v>
      </c>
    </row>
    <row r="5" spans="1:2" ht="74.099999999999994" customHeight="1" x14ac:dyDescent="0.2">
      <c r="A5" s="41" t="s">
        <v>20</v>
      </c>
    </row>
    <row r="6" spans="1:2" ht="26.25" customHeight="1" x14ac:dyDescent="0.2">
      <c r="A6" s="40" t="s">
        <v>23</v>
      </c>
    </row>
    <row r="7" spans="1:2" s="36" customFormat="1" ht="204.95" customHeight="1" x14ac:dyDescent="0.25">
      <c r="A7" s="45" t="s">
        <v>22</v>
      </c>
    </row>
    <row r="8" spans="1:2" s="39" customFormat="1" ht="26.25" x14ac:dyDescent="0.4">
      <c r="A8" s="40" t="s">
        <v>13</v>
      </c>
    </row>
    <row r="9" spans="1:2" ht="60" x14ac:dyDescent="0.2">
      <c r="A9" s="41" t="s">
        <v>21</v>
      </c>
    </row>
    <row r="10" spans="1:2" s="36" customFormat="1" ht="27.95" customHeight="1" x14ac:dyDescent="0.25">
      <c r="A10" s="44" t="s">
        <v>19</v>
      </c>
    </row>
    <row r="11" spans="1:2" s="39" customFormat="1" ht="26.25" x14ac:dyDescent="0.4">
      <c r="A11" s="40" t="s">
        <v>10</v>
      </c>
    </row>
    <row r="12" spans="1:2" ht="30" x14ac:dyDescent="0.2">
      <c r="A12" s="41" t="s">
        <v>18</v>
      </c>
    </row>
    <row r="13" spans="1:2" s="36" customFormat="1" ht="27.95" customHeight="1" x14ac:dyDescent="0.25">
      <c r="A13" s="44" t="s">
        <v>4</v>
      </c>
    </row>
    <row r="14" spans="1:2" s="39" customFormat="1" ht="26.25" x14ac:dyDescent="0.4">
      <c r="A14" s="40" t="s">
        <v>14</v>
      </c>
    </row>
    <row r="15" spans="1:2" ht="75" customHeight="1" x14ac:dyDescent="0.2">
      <c r="A15" s="41" t="s">
        <v>15</v>
      </c>
    </row>
    <row r="16" spans="1:2" ht="75" x14ac:dyDescent="0.2">
      <c r="A16" s="41"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Austin</dc:creator>
  <dc:description/>
  <cp:lastModifiedBy>John Thomas Danison</cp:lastModifiedBy>
  <dcterms:created xsi:type="dcterms:W3CDTF">2018-05-23T01:25:53Z</dcterms:created>
  <dcterms:modified xsi:type="dcterms:W3CDTF">2026-02-03T17:26:51Z</dcterms:modified>
</cp:coreProperties>
</file>