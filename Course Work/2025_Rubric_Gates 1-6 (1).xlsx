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purdue0.sharepoint.com/sites/CapstoneF25S26SectionA/Class Materials/14 - Rubric/"/>
    </mc:Choice>
  </mc:AlternateContent>
  <xr:revisionPtr revIDLastSave="1" documentId="8_{6E452B5D-1150-9B47-BE79-0B2078C1A5E4}" xr6:coauthVersionLast="47" xr6:coauthVersionMax="47" xr10:uidLastSave="{12391F71-DAD8-491E-995A-9098DA28A3CC}"/>
  <bookViews>
    <workbookView xWindow="28680" yWindow="-120" windowWidth="25440" windowHeight="15270" activeTab="11" xr2:uid="{00000000-000D-0000-FFFF-FFFF00000000}"/>
  </bookViews>
  <sheets>
    <sheet name="G1R" sheetId="5" r:id="rId1"/>
    <sheet name="G1.5P" sheetId="21" r:id="rId2"/>
    <sheet name="G2R" sheetId="6" r:id="rId3"/>
    <sheet name="G2.5P" sheetId="22" r:id="rId4"/>
    <sheet name="G3P" sheetId="32" r:id="rId5"/>
    <sheet name="G4R" sheetId="7" r:id="rId6"/>
    <sheet name="G4.5D" sheetId="27" r:id="rId7"/>
    <sheet name="G5R" sheetId="24" r:id="rId8"/>
    <sheet name="G5.5D" sheetId="30" r:id="rId9"/>
    <sheet name="G6R" sheetId="26" r:id="rId10"/>
    <sheet name="Tech Expo" sheetId="29" state="hidden" r:id="rId11"/>
    <sheet name="Data" sheetId="25" r:id="rId12"/>
  </sheets>
  <definedNames>
    <definedName name="_Toc112498976" localSheetId="11">Data!$B$32</definedName>
    <definedName name="_Toc112498999" localSheetId="11">Data!$B$57</definedName>
    <definedName name="_Toc112499002" localSheetId="11">Data!$B$59</definedName>
    <definedName name="_Toc112499015" localSheetId="11">Data!#REF!</definedName>
    <definedName name="_Toc121086323" localSheetId="11">Data!$B$61</definedName>
    <definedName name="a" localSheetId="1">'G1.5P'!#REF!</definedName>
    <definedName name="a">G1R!#REF!</definedName>
    <definedName name="_xlnm.Print_Area" localSheetId="1">'G1.5P'!$A$2:$S$31</definedName>
    <definedName name="_xlnm.Print_Area" localSheetId="0">G1R!$A$2:$Z$26</definedName>
    <definedName name="_xlnm.Print_Area" localSheetId="3">'G2.5P'!$A$2:$T$32</definedName>
    <definedName name="_xlnm.Print_Area" localSheetId="2">G2R!$A$2:$T$30</definedName>
    <definedName name="_xlnm.Print_Area" localSheetId="4">G3P!$A$2:$T$24</definedName>
    <definedName name="_xlnm.Print_Area" localSheetId="6">'G4.5D'!$A$2:$T$21</definedName>
    <definedName name="_xlnm.Print_Area" localSheetId="5">G4R!$A$2:$T$47</definedName>
    <definedName name="_xlnm.Print_Area" localSheetId="8">'G5.5D'!$A$2:$T$22</definedName>
    <definedName name="_xlnm.Print_Area" localSheetId="7">G5R!$A$2:$T$36</definedName>
    <definedName name="_xlnm.Print_Area" localSheetId="9">G6R!$A$4:$T$31</definedName>
    <definedName name="_xlnm.Print_Area" localSheetId="10">'Tech Expo'!$A$4:$Q$9</definedName>
    <definedName name="_xlnm.Print_Titles" localSheetId="1">'G1.5P'!$2:$3</definedName>
    <definedName name="_xlnm.Print_Titles" localSheetId="0">G1R!$2:$3</definedName>
    <definedName name="_xlnm.Print_Titles" localSheetId="3">'G2.5P'!$2:$3</definedName>
    <definedName name="_xlnm.Print_Titles" localSheetId="2">G2R!$2:$3</definedName>
    <definedName name="_xlnm.Print_Titles" localSheetId="4">G3P!$2:$3</definedName>
    <definedName name="_xlnm.Print_Titles" localSheetId="6">'G4.5D'!$2:$3</definedName>
    <definedName name="_xlnm.Print_Titles" localSheetId="5">G4R!$2:$3</definedName>
    <definedName name="_xlnm.Print_Titles" localSheetId="8">'G5.5D'!$2:$3</definedName>
    <definedName name="_xlnm.Print_Titles" localSheetId="7">G5R!$2:$3</definedName>
    <definedName name="_xlnm.Print_Titles" localSheetId="9">G6R!$2:$3</definedName>
    <definedName name="_xlnm.Print_Titles" localSheetId="10">'Tech Expo'!$2:$3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7" i="32" l="1"/>
  <c r="D18" i="32"/>
  <c r="T18" i="24"/>
  <c r="D18" i="24"/>
  <c r="R18" i="24"/>
  <c r="C18" i="24"/>
  <c r="B18" i="24"/>
  <c r="D28" i="26" l="1"/>
  <c r="C28" i="26"/>
  <c r="B28" i="26"/>
  <c r="D27" i="26"/>
  <c r="C27" i="26"/>
  <c r="B27" i="26"/>
  <c r="D26" i="26"/>
  <c r="C26" i="26"/>
  <c r="B26" i="26"/>
  <c r="D25" i="26"/>
  <c r="C25" i="26"/>
  <c r="B25" i="26"/>
  <c r="D24" i="26"/>
  <c r="C24" i="26"/>
  <c r="B24" i="26"/>
  <c r="D23" i="26"/>
  <c r="C23" i="26"/>
  <c r="B23" i="26"/>
  <c r="D13" i="30"/>
  <c r="C13" i="30"/>
  <c r="B13" i="30"/>
  <c r="D33" i="24"/>
  <c r="C33" i="24"/>
  <c r="B33" i="24"/>
  <c r="D32" i="24"/>
  <c r="C32" i="24"/>
  <c r="B32" i="24"/>
  <c r="D31" i="24"/>
  <c r="C31" i="24"/>
  <c r="B31" i="24"/>
  <c r="D30" i="24"/>
  <c r="C30" i="24"/>
  <c r="B30" i="24"/>
  <c r="D29" i="24"/>
  <c r="C29" i="24"/>
  <c r="B29" i="24"/>
  <c r="D28" i="24"/>
  <c r="C28" i="24"/>
  <c r="B28" i="24"/>
  <c r="D16" i="27"/>
  <c r="C16" i="27"/>
  <c r="B16" i="27"/>
  <c r="D15" i="27"/>
  <c r="C15" i="27"/>
  <c r="B15" i="27"/>
  <c r="D31" i="7"/>
  <c r="R44" i="7"/>
  <c r="D44" i="7"/>
  <c r="C44" i="7"/>
  <c r="B44" i="7"/>
  <c r="C43" i="7"/>
  <c r="B43" i="7"/>
  <c r="D17" i="7" l="1"/>
  <c r="C17" i="7"/>
  <c r="B17" i="7"/>
  <c r="D16" i="7"/>
  <c r="C16" i="7"/>
  <c r="B16" i="7"/>
  <c r="D15" i="7"/>
  <c r="C15" i="7"/>
  <c r="B15" i="7"/>
  <c r="D14" i="7"/>
  <c r="C14" i="7"/>
  <c r="B14" i="7"/>
  <c r="C11" i="7"/>
  <c r="C10" i="7"/>
  <c r="B11" i="7"/>
  <c r="B10" i="7"/>
  <c r="R10" i="32"/>
  <c r="D23" i="21"/>
  <c r="C23" i="21"/>
  <c r="B23" i="21"/>
  <c r="R9" i="5"/>
  <c r="R8" i="5"/>
  <c r="R7" i="5"/>
  <c r="R6" i="5"/>
  <c r="S6" i="5" s="1"/>
  <c r="R4" i="5"/>
  <c r="D11" i="32"/>
  <c r="C11" i="32"/>
  <c r="B11" i="32"/>
  <c r="D12" i="22"/>
  <c r="C12" i="22"/>
  <c r="B12" i="22"/>
  <c r="D17" i="22" l="1"/>
  <c r="C17" i="22"/>
  <c r="B17" i="22"/>
  <c r="D16" i="22"/>
  <c r="C16" i="22"/>
  <c r="B16" i="22"/>
  <c r="D15" i="22"/>
  <c r="C15" i="22"/>
  <c r="B15" i="22"/>
  <c r="D14" i="22"/>
  <c r="C14" i="22"/>
  <c r="B14" i="22"/>
  <c r="D29" i="22"/>
  <c r="D27" i="6"/>
  <c r="C27" i="6"/>
  <c r="B27" i="6"/>
  <c r="D26" i="6"/>
  <c r="C26" i="6"/>
  <c r="B26" i="6"/>
  <c r="B22" i="6"/>
  <c r="D22" i="6" l="1"/>
  <c r="D20" i="6"/>
  <c r="C20" i="6"/>
  <c r="B20" i="6"/>
  <c r="D19" i="6"/>
  <c r="C19" i="6"/>
  <c r="B19" i="6"/>
  <c r="D18" i="6"/>
  <c r="C18" i="6"/>
  <c r="B18" i="6"/>
  <c r="D17" i="6"/>
  <c r="C17" i="6"/>
  <c r="B17" i="6"/>
  <c r="D16" i="6"/>
  <c r="C16" i="6"/>
  <c r="B16" i="6"/>
  <c r="D15" i="6"/>
  <c r="C15" i="6"/>
  <c r="B15" i="6"/>
  <c r="D25" i="21"/>
  <c r="C25" i="21"/>
  <c r="B25" i="21"/>
  <c r="D24" i="21"/>
  <c r="C24" i="21"/>
  <c r="B24" i="21"/>
  <c r="C17" i="32"/>
  <c r="D10" i="32"/>
  <c r="C10" i="32"/>
  <c r="B10" i="32"/>
  <c r="R14" i="32"/>
  <c r="D24" i="7"/>
  <c r="D23" i="7"/>
  <c r="C24" i="7"/>
  <c r="C23" i="7"/>
  <c r="B24" i="7"/>
  <c r="B23" i="7"/>
  <c r="A23" i="7"/>
  <c r="R20" i="7"/>
  <c r="R19" i="7"/>
  <c r="R21" i="32"/>
  <c r="T21" i="32" s="1"/>
  <c r="D21" i="32"/>
  <c r="C21" i="32"/>
  <c r="R19" i="32"/>
  <c r="R18" i="32"/>
  <c r="R17" i="32"/>
  <c r="R15" i="32"/>
  <c r="R13" i="32"/>
  <c r="D13" i="32"/>
  <c r="R11" i="32"/>
  <c r="R9" i="32"/>
  <c r="D9" i="32"/>
  <c r="C9" i="32"/>
  <c r="B9" i="32"/>
  <c r="R8" i="32"/>
  <c r="D8" i="32"/>
  <c r="C8" i="32"/>
  <c r="B8" i="32"/>
  <c r="R6" i="32"/>
  <c r="D6" i="32"/>
  <c r="C6" i="32"/>
  <c r="R5" i="32"/>
  <c r="D5" i="32"/>
  <c r="C5" i="32"/>
  <c r="R4" i="32"/>
  <c r="D4" i="32"/>
  <c r="C4" i="32"/>
  <c r="C14" i="6"/>
  <c r="D14" i="6"/>
  <c r="D21" i="6"/>
  <c r="T17" i="32" l="1"/>
  <c r="T8" i="32"/>
  <c r="T13" i="32"/>
  <c r="T4" i="32"/>
  <c r="T22" i="32" l="1"/>
  <c r="T24" i="32" s="1"/>
  <c r="D10" i="6" l="1"/>
  <c r="D17" i="5"/>
  <c r="D24" i="24"/>
  <c r="D28" i="21"/>
  <c r="R18" i="6"/>
  <c r="R17" i="6"/>
  <c r="R19" i="6"/>
  <c r="R23" i="5"/>
  <c r="D15" i="26"/>
  <c r="D14" i="26"/>
  <c r="D23" i="24"/>
  <c r="D16" i="5"/>
  <c r="D30" i="7"/>
  <c r="D28" i="22"/>
  <c r="C28" i="21"/>
  <c r="C27" i="21"/>
  <c r="D27" i="21"/>
  <c r="R19" i="26"/>
  <c r="T19" i="26" s="1"/>
  <c r="D19" i="26"/>
  <c r="C19" i="26"/>
  <c r="B19" i="26"/>
  <c r="B17" i="26"/>
  <c r="R17" i="26"/>
  <c r="R19" i="30"/>
  <c r="T19" i="30" s="1"/>
  <c r="R13" i="30"/>
  <c r="R12" i="30"/>
  <c r="R17" i="30"/>
  <c r="R16" i="30"/>
  <c r="R15" i="30"/>
  <c r="T15" i="30" s="1"/>
  <c r="R10" i="30"/>
  <c r="R9" i="30"/>
  <c r="R8" i="30"/>
  <c r="R6" i="30"/>
  <c r="R5" i="30"/>
  <c r="R4" i="30"/>
  <c r="R18" i="27"/>
  <c r="T18" i="27" s="1"/>
  <c r="R16" i="27"/>
  <c r="R15" i="27"/>
  <c r="R13" i="27"/>
  <c r="R12" i="27"/>
  <c r="R10" i="27"/>
  <c r="R9" i="27"/>
  <c r="R8" i="27"/>
  <c r="R6" i="27"/>
  <c r="R4" i="27"/>
  <c r="R5" i="27"/>
  <c r="D12" i="30"/>
  <c r="C12" i="30"/>
  <c r="T4" i="30" l="1"/>
  <c r="T12" i="27"/>
  <c r="T8" i="30"/>
  <c r="T12" i="30"/>
  <c r="T15" i="27"/>
  <c r="T8" i="27"/>
  <c r="T4" i="27"/>
  <c r="D17" i="30"/>
  <c r="C17" i="30"/>
  <c r="B17" i="30"/>
  <c r="D16" i="30"/>
  <c r="C16" i="30"/>
  <c r="B16" i="30"/>
  <c r="D19" i="30"/>
  <c r="C19" i="30"/>
  <c r="D15" i="30"/>
  <c r="C15" i="30"/>
  <c r="D10" i="30"/>
  <c r="C10" i="30"/>
  <c r="B10" i="30"/>
  <c r="D9" i="30"/>
  <c r="C9" i="30"/>
  <c r="B9" i="30"/>
  <c r="D8" i="30"/>
  <c r="C8" i="30"/>
  <c r="B8" i="30"/>
  <c r="D6" i="30"/>
  <c r="C6" i="30"/>
  <c r="D5" i="30"/>
  <c r="C5" i="30"/>
  <c r="D4" i="30"/>
  <c r="C4" i="30"/>
  <c r="T20" i="30" l="1"/>
  <c r="T22" i="30" s="1"/>
  <c r="R21" i="22"/>
  <c r="R20" i="22"/>
  <c r="R35" i="7"/>
  <c r="R36" i="7"/>
  <c r="R26" i="7"/>
  <c r="C6" i="29"/>
  <c r="B6" i="29"/>
  <c r="C5" i="29"/>
  <c r="B5" i="29"/>
  <c r="C4" i="29"/>
  <c r="B4" i="29"/>
  <c r="Q4" i="29"/>
  <c r="Q5" i="29"/>
  <c r="Q6" i="29"/>
  <c r="D22" i="26"/>
  <c r="C22" i="26"/>
  <c r="D21" i="26"/>
  <c r="C21" i="26"/>
  <c r="D20" i="26"/>
  <c r="C20" i="26"/>
  <c r="D18" i="26"/>
  <c r="C18" i="26"/>
  <c r="B18" i="26"/>
  <c r="D17" i="26"/>
  <c r="C17" i="26"/>
  <c r="D16" i="26"/>
  <c r="C16" i="26"/>
  <c r="B16" i="26"/>
  <c r="C15" i="26"/>
  <c r="B15" i="26"/>
  <c r="C14" i="26"/>
  <c r="B14" i="26"/>
  <c r="D13" i="26"/>
  <c r="C13" i="26"/>
  <c r="B13" i="26"/>
  <c r="D12" i="26"/>
  <c r="C12" i="26"/>
  <c r="B12" i="26"/>
  <c r="D11" i="26"/>
  <c r="C11" i="26"/>
  <c r="B11" i="26"/>
  <c r="D10" i="26"/>
  <c r="C10" i="26"/>
  <c r="B10" i="26"/>
  <c r="D9" i="26"/>
  <c r="C9" i="26"/>
  <c r="B9" i="26"/>
  <c r="D8" i="26"/>
  <c r="C8" i="26"/>
  <c r="B8" i="26"/>
  <c r="D7" i="26"/>
  <c r="C7" i="26"/>
  <c r="B7" i="26"/>
  <c r="C6" i="26"/>
  <c r="C5" i="26"/>
  <c r="C4" i="26"/>
  <c r="B6" i="26"/>
  <c r="B5" i="26"/>
  <c r="B4" i="26"/>
  <c r="D27" i="24"/>
  <c r="C27" i="24"/>
  <c r="D26" i="24"/>
  <c r="C26" i="24"/>
  <c r="D25" i="24"/>
  <c r="C25" i="24"/>
  <c r="C24" i="24"/>
  <c r="B24" i="24"/>
  <c r="C23" i="24"/>
  <c r="B23" i="24"/>
  <c r="D22" i="24"/>
  <c r="C22" i="24"/>
  <c r="B22" i="24"/>
  <c r="D21" i="24"/>
  <c r="C21" i="24"/>
  <c r="B21" i="24"/>
  <c r="D20" i="24"/>
  <c r="C20" i="24"/>
  <c r="B20" i="24"/>
  <c r="R20" i="24"/>
  <c r="D19" i="24"/>
  <c r="C19" i="24"/>
  <c r="B19" i="24"/>
  <c r="D17" i="24"/>
  <c r="C17" i="24"/>
  <c r="B17" i="24"/>
  <c r="D16" i="24"/>
  <c r="C16" i="24"/>
  <c r="B16" i="24"/>
  <c r="D15" i="24"/>
  <c r="C15" i="24"/>
  <c r="B15" i="24"/>
  <c r="D14" i="24"/>
  <c r="C14" i="24"/>
  <c r="B14" i="24"/>
  <c r="C13" i="24"/>
  <c r="C12" i="24"/>
  <c r="C11" i="24"/>
  <c r="C10" i="24"/>
  <c r="C9" i="24"/>
  <c r="C8" i="24"/>
  <c r="C7" i="24"/>
  <c r="C6" i="24"/>
  <c r="C5" i="24"/>
  <c r="C4" i="24"/>
  <c r="B13" i="24"/>
  <c r="B12" i="24"/>
  <c r="B11" i="24"/>
  <c r="B10" i="24"/>
  <c r="B9" i="24"/>
  <c r="B8" i="24"/>
  <c r="B7" i="24"/>
  <c r="B6" i="24"/>
  <c r="B5" i="24"/>
  <c r="B4" i="24"/>
  <c r="D18" i="27"/>
  <c r="C18" i="27"/>
  <c r="D13" i="27"/>
  <c r="C13" i="27"/>
  <c r="B13" i="27"/>
  <c r="D12" i="27"/>
  <c r="C12" i="27"/>
  <c r="B12" i="27"/>
  <c r="D10" i="27"/>
  <c r="C10" i="27"/>
  <c r="B10" i="27"/>
  <c r="D9" i="27"/>
  <c r="C9" i="27"/>
  <c r="B9" i="27"/>
  <c r="D8" i="27"/>
  <c r="C8" i="27"/>
  <c r="B8" i="27"/>
  <c r="D6" i="27"/>
  <c r="C6" i="27"/>
  <c r="D5" i="27"/>
  <c r="C5" i="27"/>
  <c r="D4" i="27"/>
  <c r="C4" i="27"/>
  <c r="Q7" i="29" l="1"/>
  <c r="Q9" i="29"/>
  <c r="D42" i="7"/>
  <c r="C42" i="7"/>
  <c r="B42" i="7"/>
  <c r="D41" i="7"/>
  <c r="C41" i="7"/>
  <c r="B41" i="7"/>
  <c r="D40" i="7"/>
  <c r="C40" i="7"/>
  <c r="B40" i="7"/>
  <c r="D39" i="7"/>
  <c r="C39" i="7"/>
  <c r="B39" i="7"/>
  <c r="D38" i="7"/>
  <c r="C38" i="7"/>
  <c r="B38" i="7"/>
  <c r="D37" i="7"/>
  <c r="C37" i="7"/>
  <c r="B37" i="7"/>
  <c r="D36" i="7"/>
  <c r="C36" i="7"/>
  <c r="B36" i="7"/>
  <c r="D35" i="7"/>
  <c r="C35" i="7"/>
  <c r="B35" i="7"/>
  <c r="D34" i="7"/>
  <c r="C34" i="7"/>
  <c r="D33" i="7"/>
  <c r="C33" i="7"/>
  <c r="D32" i="7"/>
  <c r="C32" i="7"/>
  <c r="C31" i="7"/>
  <c r="B31" i="7"/>
  <c r="C30" i="7"/>
  <c r="B30" i="7"/>
  <c r="D29" i="7"/>
  <c r="C29" i="7"/>
  <c r="B29" i="7"/>
  <c r="D28" i="7"/>
  <c r="C28" i="7"/>
  <c r="B28" i="7"/>
  <c r="D27" i="7"/>
  <c r="C27" i="7"/>
  <c r="B27" i="7"/>
  <c r="D26" i="7"/>
  <c r="C26" i="7"/>
  <c r="B26" i="7"/>
  <c r="D25" i="7"/>
  <c r="C25" i="7"/>
  <c r="B25" i="7"/>
  <c r="D22" i="7"/>
  <c r="C22" i="7"/>
  <c r="B22" i="7"/>
  <c r="D21" i="7"/>
  <c r="C21" i="7"/>
  <c r="B21" i="7"/>
  <c r="D20" i="7"/>
  <c r="C20" i="7"/>
  <c r="B20" i="7"/>
  <c r="D19" i="7"/>
  <c r="C19" i="7"/>
  <c r="B19" i="7"/>
  <c r="D18" i="7"/>
  <c r="C18" i="7"/>
  <c r="B18" i="7"/>
  <c r="C12" i="7"/>
  <c r="C9" i="7"/>
  <c r="C8" i="7"/>
  <c r="C7" i="7"/>
  <c r="C6" i="7"/>
  <c r="C5" i="7"/>
  <c r="C4" i="7"/>
  <c r="B12" i="7"/>
  <c r="B9" i="7"/>
  <c r="B8" i="7"/>
  <c r="B7" i="7"/>
  <c r="B6" i="7"/>
  <c r="B5" i="7"/>
  <c r="B4" i="7"/>
  <c r="C29" i="22"/>
  <c r="B29" i="22"/>
  <c r="C28" i="22"/>
  <c r="B28" i="22"/>
  <c r="D26" i="22"/>
  <c r="C26" i="22"/>
  <c r="B26" i="22"/>
  <c r="D25" i="22"/>
  <c r="C25" i="22"/>
  <c r="B25" i="22"/>
  <c r="D24" i="22"/>
  <c r="C24" i="22"/>
  <c r="B24" i="22"/>
  <c r="D22" i="22"/>
  <c r="C22" i="22"/>
  <c r="B22" i="22"/>
  <c r="D21" i="22"/>
  <c r="C21" i="22"/>
  <c r="B21" i="22"/>
  <c r="D20" i="22"/>
  <c r="C20" i="22"/>
  <c r="B20" i="22"/>
  <c r="D19" i="22"/>
  <c r="C19" i="22"/>
  <c r="B19" i="22"/>
  <c r="D11" i="22"/>
  <c r="C11" i="22"/>
  <c r="B11" i="22"/>
  <c r="D10" i="22"/>
  <c r="C10" i="22"/>
  <c r="B10" i="22"/>
  <c r="D9" i="22"/>
  <c r="C9" i="22"/>
  <c r="B9" i="22"/>
  <c r="D7" i="22"/>
  <c r="C7" i="22"/>
  <c r="D6" i="22"/>
  <c r="C6" i="22"/>
  <c r="D5" i="22"/>
  <c r="C5" i="22"/>
  <c r="D4" i="22"/>
  <c r="C4" i="22"/>
  <c r="D25" i="6"/>
  <c r="C25" i="6"/>
  <c r="D24" i="6"/>
  <c r="C24" i="6"/>
  <c r="D23" i="6"/>
  <c r="C23" i="6"/>
  <c r="T19" i="27" l="1"/>
  <c r="T21" i="27" s="1"/>
  <c r="C22" i="6"/>
  <c r="C21" i="6"/>
  <c r="B21" i="6"/>
  <c r="B14" i="6" l="1"/>
  <c r="D13" i="6"/>
  <c r="C13" i="6"/>
  <c r="B13" i="6"/>
  <c r="D12" i="6"/>
  <c r="C12" i="6"/>
  <c r="B12" i="6"/>
  <c r="D11" i="6"/>
  <c r="C11" i="6"/>
  <c r="B11" i="6"/>
  <c r="C10" i="6"/>
  <c r="B10" i="6"/>
  <c r="C9" i="6"/>
  <c r="C8" i="6"/>
  <c r="C7" i="6"/>
  <c r="C6" i="6"/>
  <c r="C5" i="6"/>
  <c r="C4" i="6"/>
  <c r="B9" i="6"/>
  <c r="B8" i="6"/>
  <c r="B7" i="6"/>
  <c r="B6" i="6"/>
  <c r="B5" i="6"/>
  <c r="B4" i="6"/>
  <c r="B28" i="21"/>
  <c r="B27" i="21"/>
  <c r="D21" i="21"/>
  <c r="C21" i="21"/>
  <c r="B21" i="21"/>
  <c r="D20" i="21"/>
  <c r="C20" i="21"/>
  <c r="B20" i="21"/>
  <c r="D18" i="21"/>
  <c r="C18" i="21"/>
  <c r="B18" i="21"/>
  <c r="D17" i="21"/>
  <c r="C17" i="21"/>
  <c r="B17" i="21"/>
  <c r="D15" i="21"/>
  <c r="C15" i="21"/>
  <c r="B15" i="21"/>
  <c r="D14" i="21"/>
  <c r="C14" i="21"/>
  <c r="B14" i="21"/>
  <c r="D12" i="21"/>
  <c r="C12" i="21"/>
  <c r="B12" i="21"/>
  <c r="D11" i="21"/>
  <c r="C11" i="21"/>
  <c r="B11" i="21"/>
  <c r="D10" i="21"/>
  <c r="C10" i="21"/>
  <c r="B10" i="21"/>
  <c r="D9" i="21"/>
  <c r="C9" i="21"/>
  <c r="B9" i="21"/>
  <c r="D7" i="21"/>
  <c r="C7" i="21"/>
  <c r="D6" i="21"/>
  <c r="C6" i="21"/>
  <c r="D5" i="21"/>
  <c r="C5" i="21"/>
  <c r="D4" i="21"/>
  <c r="C4" i="21"/>
  <c r="D23" i="5"/>
  <c r="C23" i="5"/>
  <c r="B23" i="5"/>
  <c r="D22" i="5"/>
  <c r="C22" i="5"/>
  <c r="B22" i="5"/>
  <c r="D21" i="5"/>
  <c r="C21" i="5"/>
  <c r="D20" i="5"/>
  <c r="C20" i="5"/>
  <c r="D19" i="5"/>
  <c r="C19" i="5"/>
  <c r="D18" i="5"/>
  <c r="C18" i="5"/>
  <c r="B18" i="5"/>
  <c r="C17" i="5"/>
  <c r="B17" i="5"/>
  <c r="C16" i="5"/>
  <c r="B16" i="5"/>
  <c r="D15" i="5"/>
  <c r="C15" i="5"/>
  <c r="B15" i="5"/>
  <c r="D14" i="5"/>
  <c r="C14" i="5"/>
  <c r="B14" i="5"/>
  <c r="D13" i="5"/>
  <c r="C13" i="5"/>
  <c r="B13" i="5"/>
  <c r="D12" i="5"/>
  <c r="C12" i="5"/>
  <c r="B12" i="5"/>
  <c r="D11" i="5"/>
  <c r="C11" i="5"/>
  <c r="B11" i="5"/>
  <c r="D10" i="5"/>
  <c r="C10" i="5"/>
  <c r="B10" i="5"/>
  <c r="D9" i="5"/>
  <c r="C9" i="5"/>
  <c r="B9" i="5"/>
  <c r="D8" i="5"/>
  <c r="C8" i="5"/>
  <c r="B8" i="5"/>
  <c r="D7" i="5"/>
  <c r="C7" i="5"/>
  <c r="B7" i="5"/>
  <c r="D6" i="5"/>
  <c r="C6" i="5"/>
  <c r="B6" i="5"/>
  <c r="D5" i="5"/>
  <c r="D4" i="5"/>
  <c r="C5" i="5"/>
  <c r="C4" i="5"/>
  <c r="B5" i="5"/>
  <c r="B4" i="5"/>
  <c r="R28" i="26" l="1"/>
  <c r="R26" i="26"/>
  <c r="R25" i="26"/>
  <c r="R23" i="26"/>
  <c r="T23" i="26" s="1"/>
  <c r="R22" i="26"/>
  <c r="R21" i="26"/>
  <c r="R20" i="26"/>
  <c r="R18" i="26"/>
  <c r="R16" i="26"/>
  <c r="R15" i="26"/>
  <c r="R14" i="26"/>
  <c r="R13" i="26"/>
  <c r="R12" i="26"/>
  <c r="R11" i="26"/>
  <c r="R10" i="26"/>
  <c r="R9" i="26"/>
  <c r="R8" i="26"/>
  <c r="R7" i="26"/>
  <c r="R6" i="26"/>
  <c r="R5" i="26"/>
  <c r="R4" i="26"/>
  <c r="R33" i="24"/>
  <c r="R32" i="24"/>
  <c r="R31" i="24"/>
  <c r="R30" i="24"/>
  <c r="R28" i="24"/>
  <c r="R27" i="24"/>
  <c r="R26" i="24"/>
  <c r="R25" i="24"/>
  <c r="R24" i="24"/>
  <c r="R23" i="24"/>
  <c r="R22" i="24"/>
  <c r="R21" i="24"/>
  <c r="R19" i="24"/>
  <c r="T19" i="24" s="1"/>
  <c r="R17" i="24"/>
  <c r="R16" i="24"/>
  <c r="R15" i="24"/>
  <c r="R14" i="24"/>
  <c r="R13" i="24"/>
  <c r="R12" i="24"/>
  <c r="R11" i="24"/>
  <c r="R10" i="24"/>
  <c r="R9" i="24"/>
  <c r="R8" i="24"/>
  <c r="R7" i="24"/>
  <c r="R6" i="24"/>
  <c r="R5" i="24"/>
  <c r="R4" i="24"/>
  <c r="R9" i="6"/>
  <c r="R31" i="7"/>
  <c r="R22" i="6"/>
  <c r="R10" i="7"/>
  <c r="R11" i="7"/>
  <c r="R29" i="7"/>
  <c r="R24" i="7"/>
  <c r="R23" i="7"/>
  <c r="R14" i="22"/>
  <c r="T14" i="22" s="1"/>
  <c r="R29" i="22"/>
  <c r="R28" i="22"/>
  <c r="R26" i="22"/>
  <c r="R25" i="22"/>
  <c r="R24" i="22"/>
  <c r="R22" i="22"/>
  <c r="R19" i="22"/>
  <c r="T19" i="22" s="1"/>
  <c r="R17" i="22"/>
  <c r="R16" i="22"/>
  <c r="R15" i="22"/>
  <c r="R12" i="22"/>
  <c r="R11" i="22"/>
  <c r="R10" i="22"/>
  <c r="R9" i="22"/>
  <c r="R7" i="22"/>
  <c r="R6" i="22"/>
  <c r="R5" i="22"/>
  <c r="R4" i="22"/>
  <c r="R4" i="21"/>
  <c r="R5" i="21"/>
  <c r="R6" i="21"/>
  <c r="R7" i="21"/>
  <c r="R9" i="21"/>
  <c r="R10" i="21"/>
  <c r="R11" i="21"/>
  <c r="R12" i="21"/>
  <c r="R14" i="21"/>
  <c r="R15" i="21"/>
  <c r="R17" i="21"/>
  <c r="R18" i="21"/>
  <c r="R20" i="21"/>
  <c r="R21" i="21"/>
  <c r="R23" i="21"/>
  <c r="S23" i="21" s="1"/>
  <c r="R24" i="21"/>
  <c r="R25" i="21"/>
  <c r="R27" i="21"/>
  <c r="R28" i="21"/>
  <c r="R38" i="7"/>
  <c r="R21" i="7"/>
  <c r="R12" i="7"/>
  <c r="R27" i="6"/>
  <c r="R5" i="5"/>
  <c r="R37" i="7"/>
  <c r="R40" i="7"/>
  <c r="R41" i="7"/>
  <c r="R26" i="6"/>
  <c r="R34" i="7"/>
  <c r="R33" i="7"/>
  <c r="R32" i="7"/>
  <c r="R30" i="7"/>
  <c r="R28" i="7"/>
  <c r="R27" i="7"/>
  <c r="R25" i="7"/>
  <c r="R22" i="7"/>
  <c r="R42" i="7"/>
  <c r="R18" i="7"/>
  <c r="R17" i="7"/>
  <c r="R16" i="7"/>
  <c r="R15" i="7"/>
  <c r="R14" i="7"/>
  <c r="R13" i="7"/>
  <c r="R9" i="7"/>
  <c r="R8" i="7"/>
  <c r="R7" i="7"/>
  <c r="R6" i="7"/>
  <c r="R5" i="7"/>
  <c r="R4" i="7"/>
  <c r="R13" i="6"/>
  <c r="R20" i="6"/>
  <c r="T18" i="6" s="1"/>
  <c r="R6" i="6"/>
  <c r="R7" i="6"/>
  <c r="R8" i="6"/>
  <c r="R10" i="6"/>
  <c r="R11" i="6"/>
  <c r="R12" i="6"/>
  <c r="R14" i="6"/>
  <c r="R15" i="6"/>
  <c r="T15" i="6" s="1"/>
  <c r="R16" i="6"/>
  <c r="R21" i="6"/>
  <c r="R23" i="6"/>
  <c r="R24" i="6"/>
  <c r="R25" i="6"/>
  <c r="R5" i="6"/>
  <c r="R4" i="6"/>
  <c r="R10" i="5"/>
  <c r="R11" i="5"/>
  <c r="R12" i="5"/>
  <c r="R13" i="5"/>
  <c r="R14" i="5"/>
  <c r="R15" i="5"/>
  <c r="R16" i="5"/>
  <c r="R17" i="5"/>
  <c r="R18" i="5"/>
  <c r="R19" i="5"/>
  <c r="R20" i="5"/>
  <c r="R21" i="5"/>
  <c r="R22" i="5"/>
  <c r="S22" i="5" s="1"/>
  <c r="T28" i="22" l="1"/>
  <c r="T35" i="7"/>
  <c r="T23" i="24"/>
  <c r="T18" i="7"/>
  <c r="S19" i="5"/>
  <c r="T28" i="24"/>
  <c r="T21" i="6"/>
  <c r="T10" i="6"/>
  <c r="T12" i="6"/>
  <c r="T23" i="6"/>
  <c r="T26" i="6"/>
  <c r="S24" i="21"/>
  <c r="T9" i="22"/>
  <c r="T4" i="22"/>
  <c r="T20" i="24"/>
  <c r="S4" i="5"/>
  <c r="T14" i="24"/>
  <c r="T20" i="26"/>
  <c r="T11" i="26"/>
  <c r="T16" i="26"/>
  <c r="T4" i="26"/>
  <c r="T7" i="26"/>
  <c r="T14" i="26"/>
  <c r="T4" i="24"/>
  <c r="T25" i="24"/>
  <c r="T24" i="22"/>
  <c r="T4" i="6"/>
  <c r="S16" i="5"/>
  <c r="S14" i="5"/>
  <c r="S12" i="5"/>
  <c r="S10" i="5"/>
  <c r="S20" i="21"/>
  <c r="S17" i="21"/>
  <c r="S14" i="21"/>
  <c r="S9" i="21"/>
  <c r="S4" i="21"/>
  <c r="T4" i="7"/>
  <c r="T14" i="7"/>
  <c r="T30" i="7"/>
  <c r="T32" i="7"/>
  <c r="T25" i="7"/>
  <c r="T23" i="7"/>
  <c r="S27" i="21"/>
  <c r="T30" i="22" l="1"/>
  <c r="S24" i="5"/>
  <c r="S26" i="5" s="1"/>
  <c r="T28" i="6"/>
  <c r="T30" i="6" s="1"/>
  <c r="T29" i="26"/>
  <c r="T31" i="26" s="1"/>
  <c r="T34" i="24"/>
  <c r="T36" i="24" s="1"/>
  <c r="T32" i="22"/>
  <c r="S29" i="21"/>
  <c r="S31" i="21" s="1"/>
  <c r="T45" i="7"/>
  <c r="T47"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Dave</author>
  </authors>
  <commentList>
    <comment ref="C65" authorId="0" shapeId="0" xr:uid="{BDBEEACB-D1D9-4455-8690-EE5E505EF7A1}">
      <text>
        <r>
          <rPr>
            <b/>
            <sz val="9"/>
            <color indexed="81"/>
            <rFont val="Tahoma"/>
            <family val="2"/>
          </rPr>
          <t>Dave:</t>
        </r>
        <r>
          <rPr>
            <sz val="9"/>
            <color indexed="81"/>
            <rFont val="Tahoma"/>
            <family val="2"/>
          </rPr>
          <t xml:space="preserve">
The final gate on the schedule is defined in each rubric page
</t>
        </r>
      </text>
    </comment>
    <comment ref="C66" authorId="0" shapeId="0" xr:uid="{31594687-3E0D-4B67-9F9E-CEF81FB6B711}">
      <text>
        <r>
          <rPr>
            <b/>
            <sz val="9"/>
            <color indexed="81"/>
            <rFont val="Tahoma"/>
            <family val="2"/>
          </rPr>
          <t>Dave:</t>
        </r>
        <r>
          <rPr>
            <sz val="9"/>
            <color indexed="81"/>
            <rFont val="Tahoma"/>
            <family val="2"/>
          </rPr>
          <t xml:space="preserve">
The final gate on the schedule is defined in each rubric page</t>
        </r>
      </text>
    </comment>
  </commentList>
</comments>
</file>

<file path=xl/sharedStrings.xml><?xml version="1.0" encoding="utf-8"?>
<sst xmlns="http://schemas.openxmlformats.org/spreadsheetml/2006/main" count="742" uniqueCount="238">
  <si>
    <t>Gate 1 Technical Report Rubric</t>
  </si>
  <si>
    <t xml:space="preserve">Category </t>
  </si>
  <si>
    <t>Report Sec.#</t>
  </si>
  <si>
    <t>Title</t>
  </si>
  <si>
    <r>
      <t xml:space="preserve">Requirements (Additional information provided in </t>
    </r>
    <r>
      <rPr>
        <i/>
        <sz val="12"/>
        <color rgb="FF000000"/>
        <rFont val="Calibri"/>
        <family val="2"/>
        <scheme val="minor"/>
      </rPr>
      <t>Guidelines_Report.doc</t>
    </r>
    <r>
      <rPr>
        <sz val="12"/>
        <color rgb="FF000000"/>
        <rFont val="Calibri"/>
        <family val="2"/>
        <scheme val="minor"/>
      </rPr>
      <t>)</t>
    </r>
  </si>
  <si>
    <t>Meets Expectations 
(12)</t>
  </si>
  <si>
    <t>(11)</t>
  </si>
  <si>
    <t>(10)</t>
  </si>
  <si>
    <t>(9)</t>
  </si>
  <si>
    <t>(8)</t>
  </si>
  <si>
    <t>(7)</t>
  </si>
  <si>
    <t>(6)</t>
  </si>
  <si>
    <t>(5)</t>
  </si>
  <si>
    <t>(4)</t>
  </si>
  <si>
    <t>(3)</t>
  </si>
  <si>
    <t>(2)</t>
  </si>
  <si>
    <t>(1)</t>
  </si>
  <si>
    <t>No Evidence 
(0)</t>
  </si>
  <si>
    <t>Score (0-12)</t>
  </si>
  <si>
    <t>Avg. Score</t>
  </si>
  <si>
    <t>Comments</t>
  </si>
  <si>
    <t>Front Matter</t>
  </si>
  <si>
    <t>x</t>
  </si>
  <si>
    <t>Project Definition</t>
  </si>
  <si>
    <t>Project Research</t>
  </si>
  <si>
    <t>Project Development</t>
  </si>
  <si>
    <t>Team Organization</t>
  </si>
  <si>
    <t xml:space="preserve">Project Management </t>
  </si>
  <si>
    <t>Report Quality</t>
  </si>
  <si>
    <t>X</t>
  </si>
  <si>
    <t xml:space="preserve">Total Points </t>
  </si>
  <si>
    <t>Points Available</t>
  </si>
  <si>
    <t>Grade %</t>
  </si>
  <si>
    <t>Gate 1.5 Project Status Report - Oral Presentation Rubric</t>
  </si>
  <si>
    <t>Category</t>
  </si>
  <si>
    <t>Report Sec. #</t>
  </si>
  <si>
    <t>Requirements</t>
  </si>
  <si>
    <t>Overall Presentation</t>
  </si>
  <si>
    <t>Design Development</t>
  </si>
  <si>
    <t>Project Management</t>
  </si>
  <si>
    <t>Gate 2 Technical Report Rubric</t>
  </si>
  <si>
    <t>Requirements  (Additional information provided in Guidelines_Report.doc)</t>
  </si>
  <si>
    <t>Weight</t>
  </si>
  <si>
    <t>Updated Sections based on feedback from Previous Gate(s)</t>
  </si>
  <si>
    <t>Updated for Gate 2 and based upon feedback from previous Gate Report.</t>
  </si>
  <si>
    <t>Gate 2.5 Project Status Report - Oral Presentation Rubric</t>
  </si>
  <si>
    <t>Project introduction</t>
  </si>
  <si>
    <t>Technical Design Documentation</t>
  </si>
  <si>
    <t>Project Budget &amp; Expenses</t>
  </si>
  <si>
    <t xml:space="preserve">Well prepared presentation. Please remember to introduce the separate objectives of the different team members. </t>
  </si>
  <si>
    <r>
      <t xml:space="preserve">Gate 3 </t>
    </r>
    <r>
      <rPr>
        <sz val="26"/>
        <rFont val="Calibri (Body)"/>
      </rPr>
      <t>Concept</t>
    </r>
    <r>
      <rPr>
        <sz val="26"/>
        <rFont val="Calibri"/>
        <family val="2"/>
        <scheme val="minor"/>
      </rPr>
      <t xml:space="preserve"> Demonstration Video</t>
    </r>
  </si>
  <si>
    <t>Requirements (Additional information provided in Guidelines_Report.doc)</t>
  </si>
  <si>
    <t>Concept Evolution (Inspiration + Creativity)</t>
  </si>
  <si>
    <t>Quality of Science</t>
  </si>
  <si>
    <t xml:space="preserve">Demonstrates critical thinking skills to evaluate technical and market viability. Is the problem and assessment structured/justified.  Standards &amp; industrial accepted methods of assessment, logic, reasoning, (core principles) evidence. </t>
  </si>
  <si>
    <t>Quality of Prototype &amp; Model</t>
  </si>
  <si>
    <t xml:space="preserve">Prototype demonstrates proof-of-concept for at least 1 key functional and/or customer requirement. Demo of critical principles, scaled, off-the-shelf, </t>
  </si>
  <si>
    <t>Preliminary Results</t>
  </si>
  <si>
    <t>Interpretation of Results</t>
  </si>
  <si>
    <t>Future Work</t>
  </si>
  <si>
    <t>Describe the next steps that you would take in this work. Formulate any questions that your results may raise and whether alternative steps should be considered in future work.</t>
  </si>
  <si>
    <t>Demonstration</t>
  </si>
  <si>
    <t>Gate 4 Technical Report Rubric</t>
  </si>
  <si>
    <t>Gate 4 adjusted based upon project status and feedback from previous Gate Reports.</t>
  </si>
  <si>
    <t>A1-4</t>
  </si>
  <si>
    <t>Update Appendices</t>
  </si>
  <si>
    <t>Technical Documentation</t>
  </si>
  <si>
    <t>Prototype Development &amp; Budget Plan</t>
  </si>
  <si>
    <t>Gate 4.5 Demonstration Video</t>
  </si>
  <si>
    <t>Gate 5 Technical Report Rubric</t>
  </si>
  <si>
    <t>Updated for Gate 5 and based upon feedback from previous Gate Report.</t>
  </si>
  <si>
    <t>FMEA</t>
  </si>
  <si>
    <t>Prototype Development</t>
  </si>
  <si>
    <t>Test and Evaluation</t>
  </si>
  <si>
    <t>Gate 5.5 Demonstration Video</t>
  </si>
  <si>
    <t>Results &amp; Conclusions</t>
  </si>
  <si>
    <t>Gate 6 Technical Report Rubric</t>
  </si>
  <si>
    <t>Updated for Gate 6 and based upon feedback from previous Gate Report.</t>
  </si>
  <si>
    <t>Project Summary</t>
  </si>
  <si>
    <t>Gate 6 Tech Expo</t>
  </si>
  <si>
    <t>Meets Expectations 
(24)</t>
  </si>
  <si>
    <t>(22)</t>
  </si>
  <si>
    <t>(20)</t>
  </si>
  <si>
    <t>(18)</t>
  </si>
  <si>
    <t>(16)</t>
  </si>
  <si>
    <t>(14)</t>
  </si>
  <si>
    <t>(12)</t>
  </si>
  <si>
    <t>Score (0-24)</t>
  </si>
  <si>
    <t>Participation</t>
  </si>
  <si>
    <t>Presentation</t>
  </si>
  <si>
    <t>Virtual Meeting</t>
  </si>
  <si>
    <t xml:space="preserve">Section </t>
  </si>
  <si>
    <t>Text</t>
  </si>
  <si>
    <t>i</t>
  </si>
  <si>
    <t>Cover Page and Table of Contents</t>
  </si>
  <si>
    <t>Professional representation of the project. Gate Report sections listed (e.g., body, references, and appendices) with correct page numbers. Updated and/or impacted sections highlighted in red.</t>
  </si>
  <si>
    <t>ii</t>
  </si>
  <si>
    <t>Executive Summary</t>
  </si>
  <si>
    <r>
      <t>Concise summary of the current accomplishmen</t>
    </r>
    <r>
      <rPr>
        <sz val="11"/>
        <color theme="1"/>
        <rFont val="Calibri"/>
        <family val="2"/>
        <scheme val="minor"/>
      </rPr>
      <t>ts and the</t>
    </r>
    <r>
      <rPr>
        <sz val="11"/>
        <color rgb="FF000000"/>
        <rFont val="Calibri"/>
        <family val="2"/>
        <scheme val="minor"/>
      </rPr>
      <t xml:space="preserve"> fu</t>
    </r>
    <r>
      <rPr>
        <sz val="11"/>
        <color theme="1"/>
        <rFont val="Calibri"/>
        <family val="2"/>
        <scheme val="minor"/>
      </rPr>
      <t xml:space="preserve">ture expectations </t>
    </r>
    <r>
      <rPr>
        <sz val="11"/>
        <color rgb="FF000000"/>
        <rFont val="Calibri"/>
        <family val="2"/>
        <scheme val="minor"/>
      </rPr>
      <t>for the next Gate Report. Updated at every Gate Report.</t>
    </r>
  </si>
  <si>
    <t>Formatting and References</t>
  </si>
  <si>
    <t>Uses IEEE format to develop the Title Page, Table of Contents, Appendix, and Work Cited sections of this report.</t>
  </si>
  <si>
    <t>Free of spelling and grammatical errors, text flows with contiguous threads, consistent format, use of 3rd person perspective, non-repeating ideas or information.</t>
  </si>
  <si>
    <t>Visual Aids</t>
  </si>
  <si>
    <t>Visual aids (all figures including hand sketches, photos, charts, etc. and tables) are clear and readable and of professional quality.  Graphic aspects labeled and linked to text to transmit critical information, units/scaling clear. Proper IEEE style utilized.</t>
  </si>
  <si>
    <t>Introduction</t>
  </si>
  <si>
    <t xml:space="preserve">Presentation Title (closely matches project name), Outline (follows Rubric), Team Members (photo, name, academic major, team role) Concise overview of project. </t>
  </si>
  <si>
    <t>Oral Presentation Skill</t>
  </si>
  <si>
    <t>Clear enunciation when discussing engineering design. All members are participating. Smooth transitions between topics and presenters.</t>
  </si>
  <si>
    <t>Audio / Visual Quality of Presentation</t>
  </si>
  <si>
    <t xml:space="preserve">Figures and tables in engineering format, free of spelling and grammatical errors, data presented is well-organized and defined in tabular or graphical form. Annotations are used to describe key points of photos and graphics. All slides are labeled with page numbers and consistent formatting between slides. Audio quality good no background noise or distractions. </t>
  </si>
  <si>
    <t>References</t>
  </si>
  <si>
    <t>References (in-text and bibliography) properly cited in IEEE style. Proper use of the Zotero citation management tool</t>
  </si>
  <si>
    <t>Demo Video</t>
  </si>
  <si>
    <t>Video uploaded into the proper location(s)</t>
  </si>
  <si>
    <t>Update Gate Report</t>
  </si>
  <si>
    <t>Update Gate Report based upon feedback from previous Gate.</t>
  </si>
  <si>
    <t>Comparison of results</t>
  </si>
  <si>
    <t xml:space="preserve">Compare your experimental results to the theory. Describe the mathematical model(s) used to predict product performance (e.g., FEA, Electrical simulations, Mechanical analysis). Describe the experiments and measurements that support the design methodology. </t>
  </si>
  <si>
    <t>Design suggestions</t>
  </si>
  <si>
    <t xml:space="preserve">Describe the lessons learned during your project. Offer insight on potential areas for improvement and/or future work that can be dedicated to this project. </t>
  </si>
  <si>
    <t>All team members are required to attend and participate in the Tech Expo.</t>
  </si>
  <si>
    <t>Poster and Demo Materials</t>
  </si>
  <si>
    <t>All demonstration materials are prepared and organized professionally. Poster outline, figures, and tables in engineering format, free of spelling and grammatical errors, data is well-organized and defined in tabular or graphical form. Annotations are used to describe key points in the figures.</t>
  </si>
  <si>
    <t>Online Presence</t>
  </si>
  <si>
    <t>Each team has created an online Microsoft Team meeting for online visitors to attend the Tech Expo. At least one team member is attentive online.</t>
  </si>
  <si>
    <t>Design Evolution</t>
  </si>
  <si>
    <t>Presents the evolution of your design by illustrating the developments made throughout the exploratory/conceptual/down-selection design phases. Points out the strengths and weaknesses of each design. Provides evidence to validate the concept selection.</t>
  </si>
  <si>
    <t>Problem Description</t>
  </si>
  <si>
    <t>Includes context to the problem, reason for the problem, need for this project, defines who is impacted by the problem (customer / market) and how.</t>
  </si>
  <si>
    <t>Problem Statement</t>
  </si>
  <si>
    <t>Describes the problem in technical detail and Quantifies the impact on the customer/market. Introduce critical performance metrics. Defines the end-user population (e.g., person, environment, or organization).</t>
  </si>
  <si>
    <t>Scope of Work</t>
  </si>
  <si>
    <t xml:space="preserve">Describes the approach to solve this problem, the projected timeline plan, and the assumptions, limitations, and constraints of the project.  Describes the services and/or materials to be obtained from the client.  </t>
  </si>
  <si>
    <t>Deliverables</t>
  </si>
  <si>
    <t xml:space="preserve">Defines the final product to be delivered at the end of the project. Defines milestones that progress toward the completion of the final product. Deliverables include a completed prototype, all spare parts, design and technical documentation, and test results. The information is specific to the project, and not described as general project deliverables. </t>
  </si>
  <si>
    <t>Review of the Problem Area</t>
  </si>
  <si>
    <t xml:space="preserve">Summarizes and synthesizes existing research to support the claims of the problem.  Information gathered is technically sound and adequate, e.g., summarizes benchmarked prototypes, patents, research publications, etc. Properly cited work using IEEE style. Includes visual aids (e.g., figures, tables) and technical details to introduce the various claims and approaches published in literature. </t>
  </si>
  <si>
    <t>Review of State-of-the-Art</t>
  </si>
  <si>
    <t>Introduces relevant products and technologies that exist in research or the market. Introduces appropriate metrics to describe the State-of-Art performance.</t>
  </si>
  <si>
    <t xml:space="preserve">Requirements Matrix </t>
  </si>
  <si>
    <t>Translates the client's needs into engineering statements using relevant metrics of performance (one, unambiguous and measurable value). Describes the relationships between these statements. Has received Client approval.</t>
  </si>
  <si>
    <t>Exploratory Concepts</t>
  </si>
  <si>
    <t>Presents (at least) three exploratory designs that can potentially meet the design requirements. Provides evidence to substantiate the validity of the designs. Points out the strengths and weaknesses of each design. Includes sketches and/or models to demonstrate the completeness of the exploratory designs.</t>
  </si>
  <si>
    <t>Resource Requirements</t>
  </si>
  <si>
    <t>Expected resource needs to support the project are clearly defined. Status and timeline of any on-going Investigations into resource availabilities is well defined.</t>
  </si>
  <si>
    <t>Member Bios, Team Member Roles</t>
  </si>
  <si>
    <t>Table includes students' image, name, degree(s), and assigned role(s).</t>
  </si>
  <si>
    <t>Team Charter</t>
  </si>
  <si>
    <t>Expectations listed for each team member, faculty mentor and customer mentor.</t>
  </si>
  <si>
    <t>System Decomposition</t>
  </si>
  <si>
    <t xml:space="preserve">Decompose the complexity of the system/problem by describing its constituent components. Break down the complex system/problem into smaller, more manageable parts by building a hierarchical representation of critical subsystems. Depending on the system, you may consider developing a functional decomposition, assembly decomposition, or service-based decomposition.  </t>
  </si>
  <si>
    <t>Conceptual Design</t>
  </si>
  <si>
    <t>Presents (at least) three detailed conceptual designs that can meet the design requirements. Provides evidence to substantiate the validity of the designs. Points out strengths and weaknesses of each. Includes sketches and/or models to demonstrate the completeness of the designs.</t>
  </si>
  <si>
    <t>Down Selection Process</t>
  </si>
  <si>
    <t>Discusses the results of the Down Selection process, includes the criteria and weighting factors for each criterion. Defines the final selection and explains why.</t>
  </si>
  <si>
    <t xml:space="preserve">Final Design Description </t>
  </si>
  <si>
    <t xml:space="preserve">Describes all aspects of the final design and how it meets the client's requirements. </t>
  </si>
  <si>
    <t xml:space="preserve">Design Calculations &amp; Analysis Results </t>
  </si>
  <si>
    <t>Provide and describe the analytical models used to support the design. (FEA, Electrical simulations, Mechanical analysis) Provide and describe the experiments and measurements that support the design.</t>
  </si>
  <si>
    <t>Mathematical Modeling (Lit review)</t>
  </si>
  <si>
    <t xml:space="preserve">Define all analytical approaches to be used to support confirmation that your system design will meet the client requirements.  </t>
  </si>
  <si>
    <t>Critical Issues &amp; Risk Mitigation</t>
  </si>
  <si>
    <t xml:space="preserve">Explains critical issues that have arisen. Translates critical issues into sequential action items. Explains the affect(s) on the critical path and schedule. </t>
  </si>
  <si>
    <t>Mechanical Design</t>
  </si>
  <si>
    <t>Provides a mechanical description for the project design with sufficient detail for fabrication/manufacturing/assembly. The descriptions include tolerances, part numbering, and material specifications. Provides a manufacturing plan for each part.</t>
  </si>
  <si>
    <t>Electrical Design</t>
  </si>
  <si>
    <t>Provides an electrical description for the project design with sufficient detail for fabrication/manufacturing/assembly. Provides complete circuit diagrams. Evaluates the results of circuit breadboards. Provides complete wiring diagrams including cables and connectors. Provides a PC board layout ready for production including mounting points.</t>
  </si>
  <si>
    <t>Software &amp; Programming</t>
  </si>
  <si>
    <t>Provides a description of the software for the project with sufficient detail for reproducibility and troubleshooting. Includes complete flow diagrams including links and operating interfaces.</t>
  </si>
  <si>
    <t>Technical Data Sheets</t>
  </si>
  <si>
    <t xml:space="preserve">Introduce the equipment and purpose of use, and reference data sheet in Appendix. </t>
  </si>
  <si>
    <t>System Design Bill of Materials (BOM)</t>
  </si>
  <si>
    <t>Provide a completed Design Bill of Materials table that defines each system grouping with its associated assemblies and individual parts fully defined. Each line item in the table has an identifiable part numbering system created by the team.</t>
  </si>
  <si>
    <t>Failure Modes and Effects Analysis (FMEA)</t>
  </si>
  <si>
    <t>Provide a Failure Modes and Effects Analysis (FMEA) with discussion of results.  Components used for the device should be included. Tooling test equipment should not be included.  style. Include the appropriate level of visual aids (e.g., figures, tables) and technical detail to clearly define the various approaches researched.</t>
  </si>
  <si>
    <t>Parts Requisition</t>
  </si>
  <si>
    <t>Parts ordering needs clearly defined. Parts Requisition Form filled in correctly and submitted. Summary table clearly defines all parts ordered. Parts delivery dates clearly defined. Copies of all forms submitted have been placed in Appendix A9.</t>
  </si>
  <si>
    <t>Fabrication Plan</t>
  </si>
  <si>
    <t>Fabrication plan clearly defined. All special assembly or testing needs are described. Alternate build techniques and materials identified for costly or long lead-time components. Inspection plan clearly defined for all fabricated or purchased components.</t>
  </si>
  <si>
    <t>As Built / Implemented Documentation</t>
  </si>
  <si>
    <t>Describe the differences between the 'as built' design vs. the intended design features. Provide sketches and/or CAD models as visual aids to support your description of the design differences. Explain how the as built prototype features may impact capturing data during the testing phase. Define any test plan modifications needed to capture your data.</t>
  </si>
  <si>
    <t>Established Project Budget</t>
  </si>
  <si>
    <t xml:space="preserve">Describe the amount of funds that will be available to procure all necessary parts and materials to  build your prototype.  </t>
  </si>
  <si>
    <t>Prototype Parts Expense</t>
  </si>
  <si>
    <t>Tabulate the total expenses for the various systems of your project, such as, ‘Mechanical Parts’, ‘Electrical Components’, ‘Supplies’, ‘Electrical Suppliers’, ‘Special Tools”, etc.</t>
  </si>
  <si>
    <t>Budget Summary</t>
  </si>
  <si>
    <t>Provide a summary of the status of all expenses and available budget amounts.</t>
  </si>
  <si>
    <t>Test Plan &amp; Testing Phase</t>
  </si>
  <si>
    <t>Well defined test plan appropriate to the expected level of testing. Testing requirements and test sequences developed and data recording methods identified.  All test equipment and sensor needs have been identified and ordered. Clearly defined plan in place for the type of data analysis method(s) to be used. Test location Identified and outside resources identified and ready to support testing as needed.</t>
  </si>
  <si>
    <t>Test Results and Data Analysis</t>
  </si>
  <si>
    <t>Captured test data properly documented  and organized.  Analysis of test data clearly justifies the final conclusions of the test efforts.</t>
  </si>
  <si>
    <t>Corrective Action Plan (if needed)</t>
  </si>
  <si>
    <t>If a product performance deficiency is found during test data analysis, create a detailed Corrective Action Plan that describes each deficiency found and how it will impact meeting the client requirements,  deliverables, and your project schedule. This action plan should be thoroughly reviewed and approved by the client.</t>
  </si>
  <si>
    <t>Project Schedule</t>
  </si>
  <si>
    <t>Task descriptions contain an acceptable level of detail. Task predecessor links properly used with no open-ended tasks.  Task progress bar properly used to indicate % completion status of active tasks. All tasks set to Auto-Schedule mode. All Resource Names added. Milestones identified and properly linked. All task flow in a chronological order.</t>
  </si>
  <si>
    <t>Gantt Charts &amp; Critical Path</t>
  </si>
  <si>
    <t xml:space="preserve">Gantt Chart(s): Properly formatted to clearly define project status details and all information in the Gantt Charts is aligned with the Gate requirements. Task level information clearly indicates an appropriate level of detail. Chart types are properly created as defined in the Project Schedule Guidelines. Critical Path: MS Project able to calculate critical path based on existing tasks and predecessor structure. Clearly defined and shown using the Level 3 chart format. Gantt Charts content should be To gate </t>
  </si>
  <si>
    <t>MS Teams File Documentation</t>
  </si>
  <si>
    <t>Certification table filled in and signed by the responsible team member.</t>
  </si>
  <si>
    <t>Project Results</t>
  </si>
  <si>
    <t>RE-visit Problem Statement and describe team efforts to resolve primary issues, results of build and testing efforts, critical techniques used, and critical data results and analysis conclusions</t>
  </si>
  <si>
    <t>Team Meeting Notes</t>
  </si>
  <si>
    <t>Lessons Learned</t>
  </si>
  <si>
    <t>List most important lessons learned by sharing experiences of how new and improved techniques or processes were developed and how they were instrumental in achieving your design requirements.</t>
  </si>
  <si>
    <t>Recommendations</t>
  </si>
  <si>
    <t>Describe all team recommendations with enough detail to best direct your client to initiate future action within their company. Create a  table or bullet list summarizing the details of each recommendation.</t>
  </si>
  <si>
    <t>NA</t>
  </si>
  <si>
    <t>Project overall results</t>
  </si>
  <si>
    <t>Has the final product been tested and proven to meet every requirement as outlined in the requirements matrix?</t>
  </si>
  <si>
    <t>A1</t>
  </si>
  <si>
    <t>Communication Plan</t>
  </si>
  <si>
    <t>Communication Plan template fully filled in. Communication channels appear appropriate for the current team progress and level of communication occurring.  Clearly defined descriptions of all portions of the plan.</t>
  </si>
  <si>
    <t>A2</t>
  </si>
  <si>
    <t>Team Member Bios</t>
  </si>
  <si>
    <t>Describes each member's motivation to participate and succeed in this project.</t>
  </si>
  <si>
    <t>A3</t>
  </si>
  <si>
    <t xml:space="preserve">Copy of calculation results for each down selection analysis completed. </t>
  </si>
  <si>
    <t>A4</t>
  </si>
  <si>
    <t xml:space="preserve">Contains invitees, attendees, agenda, meeting notes, and task assignment with team member responsibilities clearly labeled.  </t>
  </si>
  <si>
    <t>A5</t>
  </si>
  <si>
    <t>Mechanical Drawings</t>
  </si>
  <si>
    <t xml:space="preserve">Provides a full engineering mechanical description and documentation for the project design in sufficient detail that the design could be manufactured/produced/assembled. </t>
  </si>
  <si>
    <t>A6</t>
  </si>
  <si>
    <t>Electrical Drawings</t>
  </si>
  <si>
    <t xml:space="preserve">Provides a full engineering electrical description and documentation for the project design in sufficient detail that the design could be manufactured/produced/assembled. </t>
  </si>
  <si>
    <t>A7</t>
  </si>
  <si>
    <t>Software and Programming Files</t>
  </si>
  <si>
    <t>Provides a full engineering software  description and documentation for the project design in sufficient detail that the program can be reproduced.</t>
  </si>
  <si>
    <t>A8</t>
  </si>
  <si>
    <t xml:space="preserve">All manufacturers' data sheets attached. </t>
  </si>
  <si>
    <t>A9</t>
  </si>
  <si>
    <t>Attach the FMEA in the Appendix</t>
  </si>
  <si>
    <t>A10</t>
  </si>
  <si>
    <t>Parts Requisition Forms</t>
  </si>
  <si>
    <t>Contains copies of all parts requisition form submitted</t>
  </si>
  <si>
    <t>A11</t>
  </si>
  <si>
    <t>Team Member Contact Information</t>
  </si>
  <si>
    <t xml:space="preserve">Create a bullet list or table of all the team members contact information.  Include name, professional contact information, and an email address that will be valid after the class is complete.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</si>
</sst>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26"/>
      <color theme="1"/>
      <name val="Calibri"/>
      <family val="2"/>
      <scheme val="minor"/>
    </font>
    <font>
      <sz val="12"/>
      <color rgb="FFFF0000"/>
      <name val="Calibri"/>
      <family val="2"/>
      <scheme val="minor"/>
    </font>
    <font>
      <sz val="11"/>
      <color theme="1"/>
      <name val="Calibri"/>
      <family val="2"/>
      <scheme val="minor"/>
    </font>
    <font>
      <sz val="8"/>
      <name val="Calibri"/>
      <family val="2"/>
      <scheme val="minor"/>
    </font>
    <font>
      <sz val="12"/>
      <color rgb="FF000000"/>
      <name val="Calibri"/>
      <family val="2"/>
    </font>
    <font>
      <sz val="12"/>
      <name val="Calibri"/>
      <family val="2"/>
      <scheme val="minor"/>
    </font>
    <font>
      <sz val="12"/>
      <color rgb="FF000000"/>
      <name val="Calibri"/>
      <family val="2"/>
      <scheme val="minor"/>
    </font>
    <font>
      <sz val="11"/>
      <color rgb="FF000000"/>
      <name val="Calibri"/>
      <family val="2"/>
    </font>
    <font>
      <i/>
      <sz val="12"/>
      <color rgb="FF000000"/>
      <name val="Calibri"/>
      <family val="2"/>
      <scheme val="minor"/>
    </font>
    <font>
      <sz val="11"/>
      <color rgb="FF000000"/>
      <name val="Calibri"/>
      <family val="2"/>
      <scheme val="minor"/>
    </font>
    <font>
      <sz val="11"/>
      <name val="Calibri"/>
      <family val="2"/>
      <scheme val="minor"/>
    </font>
    <font>
      <sz val="9"/>
      <color indexed="81"/>
      <name val="Tahoma"/>
      <family val="2"/>
    </font>
    <font>
      <b/>
      <sz val="9"/>
      <color indexed="81"/>
      <name val="Tahoma"/>
      <family val="2"/>
    </font>
    <font>
      <sz val="20"/>
      <color theme="1"/>
      <name val="Calibri"/>
      <family val="2"/>
      <scheme val="minor"/>
    </font>
    <font>
      <sz val="11"/>
      <color rgb="FFFF0000"/>
      <name val="Calibri"/>
      <family val="2"/>
      <scheme val="minor"/>
    </font>
    <font>
      <sz val="26"/>
      <name val="Calibri"/>
      <family val="2"/>
      <scheme val="minor"/>
    </font>
    <font>
      <sz val="26"/>
      <name val="Calibri (Body)"/>
    </font>
  </fonts>
  <fills count="5">
    <fill>
      <patternFill patternType="none"/>
    </fill>
    <fill>
      <patternFill patternType="gray125"/>
    </fill>
    <fill>
      <patternFill patternType="solid">
        <fgColor theme="9" tint="0.39997558519241921"/>
        <bgColor indexed="64"/>
      </patternFill>
    </fill>
    <fill>
      <patternFill patternType="solid">
        <fgColor rgb="FFFFFFFF"/>
        <bgColor indexed="64"/>
      </patternFill>
    </fill>
    <fill>
      <patternFill patternType="solid">
        <fgColor theme="9" tint="0.39994506668294322"/>
        <bgColor indexed="64"/>
      </patternFill>
    </fill>
  </fills>
  <borders count="8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style="thin">
        <color auto="1"/>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medium">
        <color indexed="64"/>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indexed="64"/>
      </left>
      <right style="thin">
        <color auto="1"/>
      </right>
      <top style="medium">
        <color indexed="64"/>
      </top>
      <bottom/>
      <diagonal/>
    </border>
    <border>
      <left style="thin">
        <color auto="1"/>
      </left>
      <right style="medium">
        <color indexed="64"/>
      </right>
      <top style="medium">
        <color indexed="64"/>
      </top>
      <bottom/>
      <diagonal/>
    </border>
    <border>
      <left/>
      <right style="medium">
        <color indexed="64"/>
      </right>
      <top/>
      <bottom/>
      <diagonal/>
    </border>
    <border>
      <left style="thin">
        <color auto="1"/>
      </left>
      <right style="thin">
        <color auto="1"/>
      </right>
      <top style="thin">
        <color auto="1"/>
      </top>
      <bottom/>
      <diagonal/>
    </border>
    <border>
      <left style="medium">
        <color indexed="64"/>
      </left>
      <right style="medium">
        <color indexed="64"/>
      </right>
      <top/>
      <bottom/>
      <diagonal/>
    </border>
    <border>
      <left style="thin">
        <color auto="1"/>
      </left>
      <right style="thin">
        <color auto="1"/>
      </right>
      <top style="medium">
        <color indexed="64"/>
      </top>
      <bottom/>
      <diagonal/>
    </border>
    <border>
      <left style="medium">
        <color indexed="64"/>
      </left>
      <right/>
      <top/>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ck">
        <color indexed="64"/>
      </right>
      <top style="thin">
        <color indexed="64"/>
      </top>
      <bottom/>
      <diagonal/>
    </border>
    <border>
      <left style="thick">
        <color indexed="64"/>
      </left>
      <right style="thin">
        <color indexed="64"/>
      </right>
      <top style="thin">
        <color indexed="64"/>
      </top>
      <bottom/>
      <diagonal/>
    </border>
    <border>
      <left style="thin">
        <color indexed="64"/>
      </left>
      <right style="thick">
        <color indexed="64"/>
      </right>
      <top style="thin">
        <color indexed="64"/>
      </top>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ck">
        <color indexed="64"/>
      </right>
      <top/>
      <bottom style="thin">
        <color indexed="64"/>
      </bottom>
      <diagonal/>
    </border>
    <border>
      <left style="thick">
        <color indexed="64"/>
      </left>
      <right style="thin">
        <color indexed="64"/>
      </right>
      <top/>
      <bottom style="thin">
        <color indexed="64"/>
      </bottom>
      <diagonal/>
    </border>
    <border>
      <left style="thin">
        <color indexed="64"/>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style="thin">
        <color indexed="64"/>
      </bottom>
      <diagonal/>
    </border>
    <border>
      <left style="thick">
        <color indexed="64"/>
      </left>
      <right/>
      <top style="thin">
        <color indexed="64"/>
      </top>
      <bottom style="thin">
        <color indexed="64"/>
      </bottom>
      <diagonal/>
    </border>
    <border>
      <left style="thick">
        <color indexed="64"/>
      </left>
      <right/>
      <top style="thin">
        <color indexed="64"/>
      </top>
      <bottom style="thick">
        <color indexed="64"/>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right style="thick">
        <color indexed="64"/>
      </right>
      <top style="thick">
        <color indexed="64"/>
      </top>
      <bottom style="thin">
        <color indexed="64"/>
      </bottom>
      <diagonal/>
    </border>
    <border>
      <left/>
      <right style="thick">
        <color indexed="64"/>
      </right>
      <top style="thin">
        <color indexed="64"/>
      </top>
      <bottom style="thin">
        <color indexed="64"/>
      </bottom>
      <diagonal/>
    </border>
    <border>
      <left/>
      <right style="thick">
        <color indexed="64"/>
      </right>
      <top style="thin">
        <color indexed="64"/>
      </top>
      <bottom style="thick">
        <color indexed="64"/>
      </bottom>
      <diagonal/>
    </border>
    <border>
      <left/>
      <right style="thick">
        <color indexed="64"/>
      </right>
      <top/>
      <bottom style="thin">
        <color indexed="64"/>
      </bottom>
      <diagonal/>
    </border>
    <border>
      <left/>
      <right style="thin">
        <color indexed="64"/>
      </right>
      <top style="thick">
        <color indexed="64"/>
      </top>
      <bottom style="thin">
        <color indexed="64"/>
      </bottom>
      <diagonal/>
    </border>
    <border>
      <left/>
      <right style="thick">
        <color indexed="64"/>
      </right>
      <top style="thin">
        <color indexed="64"/>
      </top>
      <bottom/>
      <diagonal/>
    </border>
    <border>
      <left style="thick">
        <color indexed="64"/>
      </left>
      <right style="thick">
        <color indexed="64"/>
      </right>
      <top style="thick">
        <color indexed="64"/>
      </top>
      <bottom/>
      <diagonal/>
    </border>
    <border>
      <left style="thick">
        <color indexed="64"/>
      </left>
      <right style="thin">
        <color indexed="64"/>
      </right>
      <top style="thick">
        <color indexed="64"/>
      </top>
      <bottom/>
      <diagonal/>
    </border>
    <border>
      <left style="thin">
        <color indexed="64"/>
      </left>
      <right style="thick">
        <color indexed="64"/>
      </right>
      <top/>
      <bottom/>
      <diagonal/>
    </border>
    <border>
      <left style="thin">
        <color indexed="64"/>
      </left>
      <right style="thick">
        <color indexed="64"/>
      </right>
      <top/>
      <bottom style="thick">
        <color indexed="64"/>
      </bottom>
      <diagonal/>
    </border>
    <border>
      <left style="thick">
        <color indexed="64"/>
      </left>
      <right/>
      <top style="thin">
        <color indexed="64"/>
      </top>
      <bottom/>
      <diagonal/>
    </border>
    <border>
      <left style="thick">
        <color indexed="64"/>
      </left>
      <right style="thin">
        <color indexed="64"/>
      </right>
      <top/>
      <bottom/>
      <diagonal/>
    </border>
    <border>
      <left style="thin">
        <color indexed="64"/>
      </left>
      <right style="thin">
        <color indexed="64"/>
      </right>
      <top/>
      <bottom/>
      <diagonal/>
    </border>
    <border>
      <left style="thin">
        <color auto="1"/>
      </left>
      <right/>
      <top style="medium">
        <color indexed="64"/>
      </top>
      <bottom style="thin">
        <color auto="1"/>
      </bottom>
      <diagonal/>
    </border>
    <border>
      <left style="thin">
        <color auto="1"/>
      </left>
      <right/>
      <top style="thin">
        <color auto="1"/>
      </top>
      <bottom style="medium">
        <color indexed="64"/>
      </bottom>
      <diagonal/>
    </border>
    <border>
      <left/>
      <right style="thin">
        <color auto="1"/>
      </right>
      <top style="medium">
        <color indexed="64"/>
      </top>
      <bottom style="thin">
        <color auto="1"/>
      </bottom>
      <diagonal/>
    </border>
    <border>
      <left/>
      <right style="thin">
        <color auto="1"/>
      </right>
      <top style="thin">
        <color auto="1"/>
      </top>
      <bottom style="medium">
        <color indexed="64"/>
      </bottom>
      <diagonal/>
    </border>
    <border>
      <left style="thin">
        <color indexed="64"/>
      </left>
      <right/>
      <top style="thick">
        <color indexed="64"/>
      </top>
      <bottom style="thick">
        <color indexed="64"/>
      </bottom>
      <diagonal/>
    </border>
    <border>
      <left/>
      <right/>
      <top style="thick">
        <color indexed="64"/>
      </top>
      <bottom style="thin">
        <color indexed="64"/>
      </bottom>
      <diagonal/>
    </border>
    <border>
      <left/>
      <right/>
      <top style="thin">
        <color indexed="64"/>
      </top>
      <bottom style="thin">
        <color indexed="64"/>
      </bottom>
      <diagonal/>
    </border>
    <border>
      <left/>
      <right/>
      <top style="thin">
        <color indexed="64"/>
      </top>
      <bottom style="thick">
        <color indexed="64"/>
      </bottom>
      <diagonal/>
    </border>
    <border>
      <left style="thin">
        <color indexed="64"/>
      </left>
      <right/>
      <top style="thick">
        <color indexed="64"/>
      </top>
      <bottom/>
      <diagonal/>
    </border>
    <border>
      <left style="thin">
        <color indexed="64"/>
      </left>
      <right/>
      <top/>
      <bottom/>
      <diagonal/>
    </border>
    <border>
      <left style="thin">
        <color indexed="64"/>
      </left>
      <right style="thin">
        <color indexed="64"/>
      </right>
      <top/>
      <bottom style="thick">
        <color indexed="64"/>
      </bottom>
      <diagonal/>
    </border>
    <border>
      <left style="thin">
        <color auto="1"/>
      </left>
      <right style="thin">
        <color auto="1"/>
      </right>
      <top/>
      <bottom style="medium">
        <color indexed="64"/>
      </bottom>
      <diagonal/>
    </border>
    <border>
      <left style="thick">
        <color indexed="64"/>
      </left>
      <right style="thick">
        <color indexed="64"/>
      </right>
      <top/>
      <bottom style="thick">
        <color indexed="64"/>
      </bottom>
      <diagonal/>
    </border>
    <border>
      <left style="thick">
        <color indexed="64"/>
      </left>
      <right style="thin">
        <color indexed="64"/>
      </right>
      <top/>
      <bottom style="thick">
        <color indexed="64"/>
      </bottom>
      <diagonal/>
    </border>
  </borders>
  <cellStyleXfs count="2">
    <xf numFmtId="0" fontId="0" fillId="0" borderId="0"/>
    <xf numFmtId="9" fontId="7" fillId="0" borderId="0" applyFont="0" applyFill="0" applyBorder="0" applyAlignment="0" applyProtection="0"/>
  </cellStyleXfs>
  <cellXfs count="462">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horizontal="center" vertical="center" wrapText="1"/>
    </xf>
    <xf numFmtId="0" fontId="4" fillId="0" borderId="0" xfId="0" applyFont="1" applyAlignment="1">
      <alignment horizontal="center" vertical="center" wrapText="1"/>
    </xf>
    <xf numFmtId="0" fontId="0" fillId="0" borderId="0" xfId="0" applyAlignment="1">
      <alignment horizontal="center"/>
    </xf>
    <xf numFmtId="0" fontId="3" fillId="0" borderId="0" xfId="0" applyFont="1" applyAlignment="1">
      <alignment horizontal="center" vertical="center" wrapText="1"/>
    </xf>
    <xf numFmtId="0" fontId="2" fillId="0" borderId="0" xfId="0" applyFont="1" applyAlignment="1">
      <alignment horizontal="center" vertical="center" wrapText="1"/>
    </xf>
    <xf numFmtId="0" fontId="11" fillId="0" borderId="1" xfId="0" applyFont="1" applyBorder="1" applyAlignment="1">
      <alignment horizontal="center" vertical="center" wrapText="1"/>
    </xf>
    <xf numFmtId="0" fontId="11" fillId="0" borderId="2" xfId="0" applyFont="1" applyBorder="1" applyAlignment="1">
      <alignment horizontal="center" vertical="center" wrapText="1"/>
    </xf>
    <xf numFmtId="9" fontId="11" fillId="0" borderId="7" xfId="1" applyFont="1" applyBorder="1" applyAlignment="1">
      <alignment horizontal="center" vertical="center"/>
    </xf>
    <xf numFmtId="0" fontId="6" fillId="0" borderId="0" xfId="0" applyFont="1"/>
    <xf numFmtId="0" fontId="11" fillId="0" borderId="0" xfId="0" applyFont="1" applyAlignment="1">
      <alignment horizontal="left" vertical="center"/>
    </xf>
    <xf numFmtId="1" fontId="11" fillId="0" borderId="4" xfId="0" applyNumberFormat="1" applyFont="1" applyBorder="1" applyAlignment="1">
      <alignment horizontal="center" vertical="center"/>
    </xf>
    <xf numFmtId="1" fontId="11" fillId="0" borderId="5" xfId="0" applyNumberFormat="1" applyFont="1" applyBorder="1" applyAlignment="1">
      <alignment horizontal="center" vertical="center"/>
    </xf>
    <xf numFmtId="1" fontId="11" fillId="0" borderId="14" xfId="0" applyNumberFormat="1" applyFont="1" applyBorder="1" applyAlignment="1">
      <alignment horizontal="center" vertical="center" wrapText="1"/>
    </xf>
    <xf numFmtId="1" fontId="11" fillId="0" borderId="16" xfId="0" applyNumberFormat="1" applyFont="1" applyBorder="1" applyAlignment="1">
      <alignment horizontal="center" vertical="center" wrapText="1"/>
    </xf>
    <xf numFmtId="1" fontId="11" fillId="0" borderId="15" xfId="0" applyNumberFormat="1" applyFont="1" applyBorder="1" applyAlignment="1">
      <alignment horizontal="center" vertical="center" wrapText="1"/>
    </xf>
    <xf numFmtId="0" fontId="11" fillId="0" borderId="0" xfId="0" applyFont="1" applyAlignment="1">
      <alignment horizontal="left" vertical="center" wrapText="1"/>
    </xf>
    <xf numFmtId="0" fontId="15" fillId="0" borderId="0" xfId="0" applyFont="1" applyAlignment="1">
      <alignment horizontal="left" vertical="center" wrapText="1"/>
    </xf>
    <xf numFmtId="0" fontId="14" fillId="0" borderId="0" xfId="0" applyFont="1" applyAlignment="1">
      <alignment horizontal="left" vertical="center" wrapText="1"/>
    </xf>
    <xf numFmtId="0" fontId="0" fillId="0" borderId="0" xfId="0" applyAlignment="1">
      <alignment horizontal="left" vertical="center"/>
    </xf>
    <xf numFmtId="0" fontId="14" fillId="0" borderId="0" xfId="0" applyFont="1" applyAlignment="1">
      <alignment horizontal="left" vertical="center"/>
    </xf>
    <xf numFmtId="0" fontId="0" fillId="0" borderId="0" xfId="0" applyAlignment="1">
      <alignment vertical="center"/>
    </xf>
    <xf numFmtId="0" fontId="11" fillId="0" borderId="0" xfId="0" applyFont="1" applyAlignment="1">
      <alignment horizontal="center" vertical="center" wrapText="1"/>
    </xf>
    <xf numFmtId="0" fontId="6" fillId="0" borderId="1" xfId="0" quotePrefix="1" applyFont="1" applyBorder="1" applyAlignment="1">
      <alignment horizontal="center" vertical="center" wrapText="1"/>
    </xf>
    <xf numFmtId="0" fontId="11" fillId="0" borderId="30" xfId="0" applyFont="1" applyBorder="1" applyAlignment="1">
      <alignment horizontal="center" vertical="center" wrapText="1"/>
    </xf>
    <xf numFmtId="0" fontId="11" fillId="0" borderId="33" xfId="0" applyFont="1" applyBorder="1" applyAlignment="1">
      <alignment horizontal="center" vertical="center" wrapText="1"/>
    </xf>
    <xf numFmtId="0" fontId="11" fillId="0" borderId="28" xfId="0" applyFont="1" applyBorder="1" applyAlignment="1">
      <alignment horizontal="left" vertical="center" wrapText="1"/>
    </xf>
    <xf numFmtId="0" fontId="11" fillId="0" borderId="36" xfId="0" applyFont="1" applyBorder="1" applyAlignment="1">
      <alignment horizontal="left" vertical="center" wrapText="1"/>
    </xf>
    <xf numFmtId="0" fontId="11" fillId="0" borderId="37" xfId="0" applyFont="1" applyBorder="1" applyAlignment="1">
      <alignment horizontal="center" vertical="center" wrapText="1"/>
    </xf>
    <xf numFmtId="0" fontId="10" fillId="0" borderId="28" xfId="0" applyFont="1" applyBorder="1" applyAlignment="1">
      <alignment horizontal="left" vertical="center" wrapText="1"/>
    </xf>
    <xf numFmtId="0" fontId="11" fillId="0" borderId="39" xfId="0" applyFont="1" applyBorder="1" applyAlignment="1">
      <alignment horizontal="left" vertical="center" wrapText="1"/>
    </xf>
    <xf numFmtId="0" fontId="11" fillId="0" borderId="40" xfId="0" applyFont="1" applyBorder="1" applyAlignment="1">
      <alignment horizontal="center" vertical="center" wrapText="1"/>
    </xf>
    <xf numFmtId="164" fontId="12" fillId="0" borderId="30" xfId="0" applyNumberFormat="1" applyFont="1" applyBorder="1" applyAlignment="1">
      <alignment horizontal="center" vertical="center"/>
    </xf>
    <xf numFmtId="1" fontId="9" fillId="0" borderId="32" xfId="0" applyNumberFormat="1" applyFont="1" applyBorder="1" applyAlignment="1">
      <alignment horizontal="center" vertical="center"/>
    </xf>
    <xf numFmtId="0" fontId="12" fillId="0" borderId="37" xfId="0" applyFont="1" applyBorder="1" applyAlignment="1">
      <alignment horizontal="center" vertical="center"/>
    </xf>
    <xf numFmtId="1" fontId="9" fillId="0" borderId="38" xfId="0" applyNumberFormat="1" applyFont="1" applyBorder="1" applyAlignment="1">
      <alignment horizontal="center" vertical="center"/>
    </xf>
    <xf numFmtId="0" fontId="12" fillId="0" borderId="33" xfId="0" applyFont="1" applyBorder="1" applyAlignment="1">
      <alignment horizontal="center" vertical="center"/>
    </xf>
    <xf numFmtId="9" fontId="9" fillId="0" borderId="35" xfId="1" applyFont="1" applyBorder="1" applyAlignment="1">
      <alignment horizontal="center" vertical="center"/>
    </xf>
    <xf numFmtId="0" fontId="11" fillId="0" borderId="46" xfId="0" applyFont="1" applyBorder="1" applyAlignment="1">
      <alignment horizontal="center" vertical="center" wrapText="1"/>
    </xf>
    <xf numFmtId="0" fontId="11" fillId="0" borderId="27" xfId="0" applyFont="1" applyBorder="1" applyAlignment="1">
      <alignment horizontal="center" vertical="center" wrapText="1"/>
    </xf>
    <xf numFmtId="0" fontId="11" fillId="0" borderId="23" xfId="0" applyFont="1" applyBorder="1" applyAlignment="1">
      <alignment horizontal="center" vertical="center" wrapText="1"/>
    </xf>
    <xf numFmtId="0" fontId="11" fillId="0" borderId="42" xfId="0" applyFont="1" applyBorder="1" applyAlignment="1">
      <alignment horizontal="center" vertical="center" wrapText="1"/>
    </xf>
    <xf numFmtId="0" fontId="11" fillId="0" borderId="43" xfId="0" quotePrefix="1" applyFont="1" applyBorder="1" applyAlignment="1">
      <alignment horizontal="center" vertical="center" wrapText="1"/>
    </xf>
    <xf numFmtId="0" fontId="11" fillId="0" borderId="44" xfId="0" applyFont="1" applyBorder="1" applyAlignment="1">
      <alignment horizontal="center" vertical="center" wrapText="1"/>
    </xf>
    <xf numFmtId="0" fontId="11" fillId="0" borderId="28" xfId="0" applyFont="1" applyBorder="1" applyAlignment="1">
      <alignment horizontal="center" vertical="center" wrapText="1"/>
    </xf>
    <xf numFmtId="0" fontId="11" fillId="0" borderId="36" xfId="0" applyFont="1" applyBorder="1" applyAlignment="1">
      <alignment horizontal="center" vertical="center" wrapText="1"/>
    </xf>
    <xf numFmtId="0" fontId="11" fillId="0" borderId="31" xfId="0" applyFont="1" applyBorder="1" applyAlignment="1">
      <alignment horizontal="center" vertical="center" wrapText="1"/>
    </xf>
    <xf numFmtId="0" fontId="11" fillId="0" borderId="32" xfId="0" applyFont="1" applyBorder="1" applyAlignment="1">
      <alignment horizontal="center" vertical="center" wrapText="1"/>
    </xf>
    <xf numFmtId="0" fontId="11" fillId="0" borderId="38" xfId="0" applyFont="1" applyBorder="1" applyAlignment="1">
      <alignment horizontal="center" vertical="center" wrapText="1"/>
    </xf>
    <xf numFmtId="0" fontId="11" fillId="0" borderId="34" xfId="0" applyFont="1" applyBorder="1" applyAlignment="1">
      <alignment horizontal="center" vertical="center" wrapText="1"/>
    </xf>
    <xf numFmtId="0" fontId="11" fillId="0" borderId="35" xfId="0" applyFont="1" applyBorder="1" applyAlignment="1">
      <alignment horizontal="center" vertical="center" wrapText="1"/>
    </xf>
    <xf numFmtId="164" fontId="11" fillId="0" borderId="36" xfId="0" applyNumberFormat="1" applyFont="1" applyBorder="1" applyAlignment="1">
      <alignment horizontal="center" vertical="center" wrapText="1"/>
    </xf>
    <xf numFmtId="164" fontId="11" fillId="0" borderId="29" xfId="0" applyNumberFormat="1" applyFont="1" applyBorder="1" applyAlignment="1">
      <alignment horizontal="center" vertical="center" wrapText="1"/>
    </xf>
    <xf numFmtId="164" fontId="11" fillId="0" borderId="36" xfId="0" applyNumberFormat="1" applyFont="1" applyBorder="1" applyAlignment="1">
      <alignment horizontal="left" vertical="center" wrapText="1"/>
    </xf>
    <xf numFmtId="164" fontId="11" fillId="0" borderId="29" xfId="0" applyNumberFormat="1" applyFont="1" applyBorder="1" applyAlignment="1">
      <alignment horizontal="left" vertical="center" wrapText="1"/>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164" fontId="11" fillId="0" borderId="45" xfId="0" applyNumberFormat="1" applyFont="1" applyBorder="1" applyAlignment="1">
      <alignment horizontal="center" vertical="center" wrapText="1"/>
    </xf>
    <xf numFmtId="164" fontId="11" fillId="0" borderId="45" xfId="0" applyNumberFormat="1" applyFont="1" applyBorder="1" applyAlignment="1">
      <alignment horizontal="left" vertical="center" wrapText="1"/>
    </xf>
    <xf numFmtId="0" fontId="11" fillId="0" borderId="47" xfId="0" applyFont="1" applyBorder="1" applyAlignment="1">
      <alignment horizontal="center" vertical="center" wrapText="1"/>
    </xf>
    <xf numFmtId="0" fontId="11" fillId="0" borderId="43" xfId="0" applyFont="1" applyBorder="1" applyAlignment="1">
      <alignment horizontal="center" vertical="center" wrapText="1"/>
    </xf>
    <xf numFmtId="1" fontId="11" fillId="0" borderId="44" xfId="0" applyNumberFormat="1" applyFont="1" applyBorder="1" applyAlignment="1">
      <alignment horizontal="center" vertical="center" wrapText="1"/>
    </xf>
    <xf numFmtId="0" fontId="11" fillId="3" borderId="33" xfId="0" applyFont="1" applyFill="1" applyBorder="1" applyAlignment="1">
      <alignment horizontal="center" vertical="center" wrapText="1"/>
    </xf>
    <xf numFmtId="1" fontId="11" fillId="0" borderId="32" xfId="0" applyNumberFormat="1" applyFont="1" applyBorder="1" applyAlignment="1">
      <alignment horizontal="center" vertical="center"/>
    </xf>
    <xf numFmtId="1" fontId="11" fillId="0" borderId="38" xfId="0" applyNumberFormat="1" applyFont="1" applyBorder="1" applyAlignment="1">
      <alignment horizontal="center" vertical="center"/>
    </xf>
    <xf numFmtId="9" fontId="11" fillId="0" borderId="35" xfId="1" applyFont="1" applyBorder="1" applyAlignment="1">
      <alignment horizontal="center" vertical="center"/>
    </xf>
    <xf numFmtId="164" fontId="11" fillId="0" borderId="28" xfId="0" applyNumberFormat="1" applyFont="1" applyBorder="1" applyAlignment="1">
      <alignment horizontal="center" vertical="center" wrapText="1"/>
    </xf>
    <xf numFmtId="164" fontId="11" fillId="0" borderId="28" xfId="0" applyNumberFormat="1" applyFont="1" applyBorder="1" applyAlignment="1">
      <alignment horizontal="left" vertical="center" wrapText="1"/>
    </xf>
    <xf numFmtId="164" fontId="11" fillId="0" borderId="28" xfId="0" applyNumberFormat="1" applyFont="1" applyBorder="1" applyAlignment="1">
      <alignment horizontal="left" vertical="top" wrapText="1"/>
    </xf>
    <xf numFmtId="164" fontId="11" fillId="0" borderId="36" xfId="0" applyNumberFormat="1" applyFont="1" applyBorder="1" applyAlignment="1">
      <alignment horizontal="left" vertical="top" wrapText="1"/>
    </xf>
    <xf numFmtId="164" fontId="11" fillId="0" borderId="29" xfId="0" applyNumberFormat="1" applyFont="1" applyBorder="1" applyAlignment="1">
      <alignment horizontal="left" vertical="top" wrapText="1"/>
    </xf>
    <xf numFmtId="164" fontId="11" fillId="0" borderId="29" xfId="0" applyNumberFormat="1" applyFont="1" applyBorder="1" applyAlignment="1">
      <alignment vertical="top" wrapText="1"/>
    </xf>
    <xf numFmtId="0" fontId="10" fillId="0" borderId="1" xfId="0" quotePrefix="1" applyFont="1" applyBorder="1" applyAlignment="1">
      <alignment horizontal="center" vertical="center" wrapText="1"/>
    </xf>
    <xf numFmtId="0" fontId="10" fillId="0" borderId="23" xfId="0" quotePrefix="1" applyFont="1" applyBorder="1" applyAlignment="1">
      <alignment horizontal="center" vertical="center" wrapText="1"/>
    </xf>
    <xf numFmtId="164" fontId="11" fillId="0" borderId="28" xfId="0" applyNumberFormat="1" applyFont="1" applyBorder="1" applyAlignment="1">
      <alignment horizontal="center" vertical="center"/>
    </xf>
    <xf numFmtId="164" fontId="11" fillId="0" borderId="36" xfId="0" applyNumberFormat="1" applyFont="1" applyBorder="1" applyAlignment="1">
      <alignment horizontal="center" vertical="center"/>
    </xf>
    <xf numFmtId="164" fontId="11" fillId="0" borderId="28" xfId="0" applyNumberFormat="1" applyFont="1" applyBorder="1" applyAlignment="1">
      <alignment horizontal="left" vertical="center"/>
    </xf>
    <xf numFmtId="164" fontId="11" fillId="0" borderId="36" xfId="0" applyNumberFormat="1" applyFont="1" applyBorder="1" applyAlignment="1">
      <alignment horizontal="left" vertical="center"/>
    </xf>
    <xf numFmtId="164" fontId="11" fillId="0" borderId="28" xfId="0" applyNumberFormat="1" applyFont="1" applyBorder="1" applyAlignment="1">
      <alignment vertical="top" wrapText="1"/>
    </xf>
    <xf numFmtId="164" fontId="11" fillId="0" borderId="36" xfId="0" applyNumberFormat="1" applyFont="1" applyBorder="1" applyAlignment="1">
      <alignment vertical="top" wrapText="1"/>
    </xf>
    <xf numFmtId="0" fontId="10" fillId="0" borderId="36" xfId="0" applyFont="1" applyBorder="1" applyAlignment="1">
      <alignment horizontal="center" vertical="center" wrapText="1"/>
    </xf>
    <xf numFmtId="0" fontId="10" fillId="0" borderId="28" xfId="0" applyFont="1" applyBorder="1" applyAlignment="1">
      <alignment horizontal="center" vertical="center"/>
    </xf>
    <xf numFmtId="0" fontId="10" fillId="0" borderId="36" xfId="0" applyFont="1" applyBorder="1" applyAlignment="1">
      <alignment horizontal="center" vertical="center"/>
    </xf>
    <xf numFmtId="0" fontId="10" fillId="0" borderId="29" xfId="0" applyFont="1" applyBorder="1" applyAlignment="1">
      <alignment horizontal="center" vertical="center"/>
    </xf>
    <xf numFmtId="164" fontId="10" fillId="0" borderId="28" xfId="0" applyNumberFormat="1" applyFont="1" applyBorder="1" applyAlignment="1">
      <alignment horizontal="center" vertical="center" wrapText="1"/>
    </xf>
    <xf numFmtId="0" fontId="10" fillId="0" borderId="36" xfId="0" applyFont="1" applyBorder="1" applyAlignment="1">
      <alignment horizontal="left" vertical="center" wrapText="1"/>
    </xf>
    <xf numFmtId="0" fontId="15" fillId="0" borderId="29" xfId="0" applyFont="1" applyBorder="1"/>
    <xf numFmtId="164" fontId="10" fillId="0" borderId="28" xfId="0" applyNumberFormat="1" applyFont="1" applyBorder="1" applyAlignment="1">
      <alignment vertical="top" wrapText="1"/>
    </xf>
    <xf numFmtId="0" fontId="10" fillId="0" borderId="36" xfId="0" applyFont="1" applyBorder="1" applyAlignment="1">
      <alignment vertical="top" wrapText="1"/>
    </xf>
    <xf numFmtId="0" fontId="15" fillId="0" borderId="29" xfId="0" applyFont="1" applyBorder="1" applyAlignment="1">
      <alignment vertical="top" wrapText="1"/>
    </xf>
    <xf numFmtId="0" fontId="10" fillId="0" borderId="30" xfId="0" applyFont="1" applyBorder="1" applyAlignment="1">
      <alignment horizontal="center" vertical="center" wrapText="1"/>
    </xf>
    <xf numFmtId="0" fontId="10" fillId="0" borderId="31" xfId="0" quotePrefix="1" applyFont="1" applyBorder="1" applyAlignment="1">
      <alignment horizontal="center" vertical="center" wrapText="1"/>
    </xf>
    <xf numFmtId="0" fontId="10" fillId="0" borderId="32"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38"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quotePrefix="1" applyFont="1" applyBorder="1" applyAlignment="1">
      <alignment horizontal="center" vertical="center" wrapText="1"/>
    </xf>
    <xf numFmtId="0" fontId="10" fillId="0" borderId="35"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left" vertical="center"/>
    </xf>
    <xf numFmtId="0" fontId="10" fillId="0" borderId="28" xfId="0" applyFont="1" applyBorder="1" applyAlignment="1">
      <alignment vertical="top" wrapText="1"/>
    </xf>
    <xf numFmtId="0" fontId="10" fillId="0" borderId="39" xfId="0" applyFont="1" applyBorder="1" applyAlignment="1">
      <alignment horizontal="center" vertical="center"/>
    </xf>
    <xf numFmtId="0" fontId="10" fillId="0" borderId="39" xfId="0" applyFont="1" applyBorder="1" applyAlignment="1">
      <alignment horizontal="left" vertical="center"/>
    </xf>
    <xf numFmtId="0" fontId="10" fillId="0" borderId="39" xfId="0" applyFont="1" applyBorder="1" applyAlignment="1">
      <alignment vertical="top" wrapText="1"/>
    </xf>
    <xf numFmtId="0" fontId="10" fillId="0" borderId="40" xfId="0" applyFont="1" applyBorder="1" applyAlignment="1">
      <alignment horizontal="center" vertical="center" wrapText="1"/>
    </xf>
    <xf numFmtId="0" fontId="10" fillId="0" borderId="41" xfId="0" applyFont="1" applyBorder="1" applyAlignment="1">
      <alignment horizontal="center" vertical="center" wrapText="1"/>
    </xf>
    <xf numFmtId="0" fontId="0" fillId="0" borderId="27" xfId="0" applyBorder="1"/>
    <xf numFmtId="0" fontId="0" fillId="0" borderId="42" xfId="0" applyBorder="1" applyAlignment="1">
      <alignment horizontal="center" vertical="center"/>
    </xf>
    <xf numFmtId="0" fontId="11" fillId="0" borderId="28" xfId="0" applyFont="1" applyBorder="1" applyAlignment="1">
      <alignment vertical="top" wrapText="1"/>
    </xf>
    <xf numFmtId="0" fontId="11" fillId="0" borderId="36" xfId="0" applyFont="1" applyBorder="1" applyAlignment="1">
      <alignment vertical="top" wrapText="1"/>
    </xf>
    <xf numFmtId="0" fontId="11" fillId="0" borderId="29" xfId="0" applyFont="1" applyBorder="1" applyAlignment="1">
      <alignment vertical="top" wrapText="1"/>
    </xf>
    <xf numFmtId="0" fontId="10" fillId="0" borderId="29" xfId="0" applyFont="1" applyBorder="1" applyAlignment="1">
      <alignment vertical="top" wrapText="1"/>
    </xf>
    <xf numFmtId="0" fontId="11" fillId="0" borderId="39" xfId="0" applyFont="1" applyBorder="1" applyAlignment="1">
      <alignment vertical="top" wrapText="1"/>
    </xf>
    <xf numFmtId="164" fontId="11" fillId="0" borderId="45" xfId="0" applyNumberFormat="1" applyFont="1" applyBorder="1" applyAlignment="1">
      <alignment vertical="top" wrapText="1"/>
    </xf>
    <xf numFmtId="0" fontId="11" fillId="0" borderId="29" xfId="0" applyFont="1" applyBorder="1" applyAlignment="1">
      <alignment horizontal="left" vertical="center"/>
    </xf>
    <xf numFmtId="164" fontId="11" fillId="0" borderId="29" xfId="0" applyNumberFormat="1" applyFont="1" applyBorder="1" applyAlignment="1">
      <alignment horizontal="center" vertical="center"/>
    </xf>
    <xf numFmtId="164" fontId="11" fillId="0" borderId="29" xfId="0" applyNumberFormat="1" applyFont="1" applyBorder="1" applyAlignment="1">
      <alignment horizontal="left" vertical="center"/>
    </xf>
    <xf numFmtId="0" fontId="10" fillId="0" borderId="27" xfId="0" applyFont="1" applyBorder="1" applyAlignment="1">
      <alignment horizontal="center" vertical="center"/>
    </xf>
    <xf numFmtId="0" fontId="10" fillId="0" borderId="27" xfId="0" applyFont="1" applyBorder="1" applyAlignment="1">
      <alignment horizontal="left" vertical="center"/>
    </xf>
    <xf numFmtId="0" fontId="10" fillId="0" borderId="27" xfId="0" applyFont="1" applyBorder="1" applyAlignment="1">
      <alignment vertical="top" wrapText="1"/>
    </xf>
    <xf numFmtId="0" fontId="11" fillId="0" borderId="49" xfId="0" applyFont="1" applyBorder="1" applyAlignment="1">
      <alignment horizontal="center" vertical="center" wrapText="1"/>
    </xf>
    <xf numFmtId="0" fontId="11" fillId="0" borderId="74" xfId="0" applyFont="1" applyBorder="1" applyAlignment="1">
      <alignment horizontal="center" vertical="center" wrapText="1"/>
    </xf>
    <xf numFmtId="0" fontId="11" fillId="0" borderId="76" xfId="0" applyFont="1" applyBorder="1" applyAlignment="1">
      <alignment horizontal="center" vertical="center" wrapText="1"/>
    </xf>
    <xf numFmtId="0" fontId="0" fillId="0" borderId="79" xfId="0" applyBorder="1" applyAlignment="1">
      <alignment horizontal="center" vertical="center" wrapText="1"/>
    </xf>
    <xf numFmtId="0" fontId="1" fillId="0" borderId="81" xfId="0" applyFont="1" applyBorder="1" applyAlignment="1">
      <alignment horizontal="center" vertical="center" wrapText="1"/>
    </xf>
    <xf numFmtId="0" fontId="1" fillId="0" borderId="82" xfId="0" applyFont="1" applyBorder="1" applyAlignment="1">
      <alignment horizontal="center" vertical="center" wrapText="1"/>
    </xf>
    <xf numFmtId="0" fontId="1" fillId="0" borderId="37" xfId="0" applyFont="1" applyBorder="1" applyAlignment="1">
      <alignment horizontal="center" vertical="center" wrapText="1"/>
    </xf>
    <xf numFmtId="0" fontId="1" fillId="0" borderId="30" xfId="0" applyFont="1" applyBorder="1" applyAlignment="1">
      <alignment horizontal="center" vertical="center" wrapText="1"/>
    </xf>
    <xf numFmtId="0" fontId="1" fillId="0" borderId="79" xfId="0" quotePrefix="1" applyFont="1" applyBorder="1" applyAlignment="1">
      <alignment horizontal="center" vertical="center" wrapText="1"/>
    </xf>
    <xf numFmtId="0" fontId="1" fillId="0" borderId="42" xfId="0" applyFont="1" applyBorder="1" applyAlignment="1">
      <alignment horizontal="center" vertical="center" wrapText="1"/>
    </xf>
    <xf numFmtId="0" fontId="1" fillId="0" borderId="1" xfId="0" quotePrefix="1" applyFont="1" applyBorder="1" applyAlignment="1">
      <alignment horizontal="center" vertical="center" wrapText="1"/>
    </xf>
    <xf numFmtId="0" fontId="1" fillId="0" borderId="0" xfId="0" applyFont="1" applyAlignment="1">
      <alignment horizontal="center" vertical="center" wrapText="1"/>
    </xf>
    <xf numFmtId="0" fontId="1" fillId="0" borderId="27" xfId="0" applyFont="1" applyBorder="1" applyAlignment="1">
      <alignment horizontal="center" vertical="center" wrapText="1"/>
    </xf>
    <xf numFmtId="0" fontId="1" fillId="0" borderId="43" xfId="0" quotePrefix="1" applyFont="1" applyBorder="1" applyAlignment="1">
      <alignment horizontal="center" vertical="center" wrapText="1"/>
    </xf>
    <xf numFmtId="0" fontId="1" fillId="0" borderId="44" xfId="0" applyFont="1" applyBorder="1" applyAlignment="1">
      <alignment horizontal="center" vertical="center" wrapText="1"/>
    </xf>
    <xf numFmtId="0" fontId="1" fillId="0" borderId="45" xfId="0" applyFont="1" applyBorder="1" applyAlignment="1">
      <alignment horizontal="center" vertical="center" wrapText="1"/>
    </xf>
    <xf numFmtId="0" fontId="1" fillId="0" borderId="45" xfId="0" applyFont="1" applyBorder="1" applyAlignment="1">
      <alignment horizontal="left" vertical="center" wrapText="1"/>
    </xf>
    <xf numFmtId="0" fontId="1" fillId="0" borderId="45" xfId="0" applyFont="1" applyBorder="1" applyAlignment="1">
      <alignment vertical="top" wrapText="1"/>
    </xf>
    <xf numFmtId="0" fontId="1" fillId="0" borderId="46" xfId="0" applyFont="1" applyBorder="1" applyAlignment="1">
      <alignment horizontal="center" vertical="center" wrapText="1"/>
    </xf>
    <xf numFmtId="0" fontId="1" fillId="0" borderId="2" xfId="0" quotePrefix="1" applyFont="1" applyBorder="1" applyAlignment="1">
      <alignment horizontal="center" vertical="center" wrapText="1"/>
    </xf>
    <xf numFmtId="0" fontId="1" fillId="0" borderId="47" xfId="0" applyFont="1" applyBorder="1" applyAlignment="1">
      <alignment horizontal="center" vertical="center" wrapText="1"/>
    </xf>
    <xf numFmtId="0" fontId="1" fillId="0" borderId="29" xfId="0" applyFont="1" applyBorder="1" applyAlignment="1">
      <alignment horizontal="center" vertical="center" wrapText="1"/>
    </xf>
    <xf numFmtId="0" fontId="1" fillId="0" borderId="29" xfId="0" applyFont="1" applyBorder="1" applyAlignment="1">
      <alignment horizontal="left" vertical="center" wrapText="1"/>
    </xf>
    <xf numFmtId="0" fontId="1" fillId="0" borderId="29" xfId="0" applyFont="1" applyBorder="1" applyAlignment="1">
      <alignment vertical="top" wrapText="1"/>
    </xf>
    <xf numFmtId="0" fontId="1" fillId="0" borderId="33" xfId="0" applyFont="1" applyBorder="1" applyAlignment="1">
      <alignment horizontal="center" vertical="center" wrapText="1"/>
    </xf>
    <xf numFmtId="0" fontId="1" fillId="0" borderId="34" xfId="0" quotePrefix="1" applyFont="1" applyBorder="1" applyAlignment="1">
      <alignment horizontal="center" vertical="center" wrapText="1"/>
    </xf>
    <xf numFmtId="0" fontId="1" fillId="0" borderId="35" xfId="0" applyFont="1" applyBorder="1" applyAlignment="1">
      <alignment horizontal="center" vertical="center" wrapText="1"/>
    </xf>
    <xf numFmtId="0" fontId="1" fillId="0" borderId="28" xfId="0" applyFont="1" applyBorder="1" applyAlignment="1">
      <alignment horizontal="center" vertical="center" wrapText="1"/>
    </xf>
    <xf numFmtId="0" fontId="1" fillId="0" borderId="28" xfId="0" applyFont="1" applyBorder="1" applyAlignment="1">
      <alignment horizontal="left" vertical="center" wrapText="1"/>
    </xf>
    <xf numFmtId="0" fontId="1" fillId="0" borderId="31" xfId="0" applyFont="1" applyBorder="1" applyAlignment="1">
      <alignment horizontal="center" vertical="center" wrapText="1"/>
    </xf>
    <xf numFmtId="0" fontId="1" fillId="0" borderId="32" xfId="0" applyFont="1" applyBorder="1" applyAlignment="1">
      <alignment horizontal="center" vertical="center" wrapText="1"/>
    </xf>
    <xf numFmtId="0" fontId="1" fillId="0" borderId="36" xfId="0" applyFont="1" applyBorder="1" applyAlignment="1">
      <alignment horizontal="center" vertical="center" wrapText="1"/>
    </xf>
    <xf numFmtId="0" fontId="1" fillId="0" borderId="36" xfId="0" applyFont="1" applyBorder="1" applyAlignment="1">
      <alignment horizontal="left" vertical="center" wrapText="1"/>
    </xf>
    <xf numFmtId="0" fontId="1" fillId="0" borderId="1" xfId="0" applyFont="1" applyBorder="1" applyAlignment="1">
      <alignment horizontal="center" vertical="center" wrapText="1"/>
    </xf>
    <xf numFmtId="0" fontId="1" fillId="0" borderId="38" xfId="0" applyFont="1" applyBorder="1" applyAlignment="1">
      <alignment horizontal="center" vertical="center" wrapText="1"/>
    </xf>
    <xf numFmtId="0" fontId="1" fillId="0" borderId="34" xfId="0" applyFont="1" applyBorder="1" applyAlignment="1">
      <alignment horizontal="center" vertical="center" wrapText="1"/>
    </xf>
    <xf numFmtId="0" fontId="1" fillId="0" borderId="39" xfId="0" applyFont="1" applyBorder="1" applyAlignment="1">
      <alignment horizontal="center" vertical="center" wrapText="1"/>
    </xf>
    <xf numFmtId="0" fontId="1" fillId="0" borderId="39" xfId="0" applyFont="1" applyBorder="1" applyAlignment="1">
      <alignment horizontal="left" vertical="center" wrapText="1"/>
    </xf>
    <xf numFmtId="0" fontId="1" fillId="0" borderId="40" xfId="0" applyFont="1" applyBorder="1" applyAlignment="1">
      <alignment horizontal="center"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28" xfId="0" applyFont="1" applyBorder="1" applyAlignment="1">
      <alignment vertical="top" wrapText="1"/>
    </xf>
    <xf numFmtId="0" fontId="1" fillId="0" borderId="36" xfId="0" applyFont="1" applyBorder="1" applyAlignment="1">
      <alignment vertical="top" wrapText="1"/>
    </xf>
    <xf numFmtId="0" fontId="1" fillId="0" borderId="27" xfId="0" applyFont="1" applyBorder="1" applyAlignment="1">
      <alignment horizontal="center" vertical="center"/>
    </xf>
    <xf numFmtId="164" fontId="1" fillId="0" borderId="28" xfId="0" applyNumberFormat="1" applyFont="1" applyBorder="1" applyAlignment="1">
      <alignment horizontal="center" vertical="center" wrapText="1"/>
    </xf>
    <xf numFmtId="164" fontId="1" fillId="0" borderId="28" xfId="0" applyNumberFormat="1" applyFont="1" applyBorder="1" applyAlignment="1">
      <alignment horizontal="left" vertical="center" wrapText="1"/>
    </xf>
    <xf numFmtId="164" fontId="1" fillId="0" borderId="28" xfId="0" applyNumberFormat="1" applyFont="1" applyBorder="1" applyAlignment="1">
      <alignment vertical="top" wrapText="1"/>
    </xf>
    <xf numFmtId="164" fontId="1" fillId="0" borderId="29" xfId="0" applyNumberFormat="1" applyFont="1" applyBorder="1" applyAlignment="1">
      <alignment horizontal="center" vertical="center" wrapText="1"/>
    </xf>
    <xf numFmtId="164" fontId="1" fillId="0" borderId="29" xfId="0" applyNumberFormat="1" applyFont="1" applyBorder="1" applyAlignment="1">
      <alignment horizontal="left" vertical="center" wrapText="1"/>
    </xf>
    <xf numFmtId="164" fontId="1" fillId="0" borderId="29" xfId="0" applyNumberFormat="1" applyFont="1" applyBorder="1" applyAlignment="1">
      <alignment vertical="top" wrapText="1"/>
    </xf>
    <xf numFmtId="0" fontId="1" fillId="0" borderId="24" xfId="0" applyFont="1" applyBorder="1" applyAlignment="1">
      <alignment horizontal="center" vertical="center" wrapText="1"/>
    </xf>
    <xf numFmtId="0" fontId="1" fillId="0" borderId="0" xfId="0" applyFont="1" applyAlignment="1">
      <alignment vertical="center" wrapText="1"/>
    </xf>
    <xf numFmtId="0" fontId="1" fillId="0" borderId="0" xfId="0" applyFont="1" applyAlignment="1">
      <alignment horizontal="left" vertical="center" wrapText="1"/>
    </xf>
    <xf numFmtId="0" fontId="1" fillId="0" borderId="43" xfId="0" applyFont="1" applyBorder="1" applyAlignment="1">
      <alignment horizontal="center" vertical="center" wrapText="1"/>
    </xf>
    <xf numFmtId="0" fontId="1" fillId="0" borderId="31" xfId="0" quotePrefix="1" applyFont="1" applyBorder="1" applyAlignment="1">
      <alignment horizontal="center" vertical="center" wrapText="1"/>
    </xf>
    <xf numFmtId="0" fontId="1" fillId="0" borderId="28" xfId="0" applyFont="1" applyBorder="1" applyAlignment="1">
      <alignment horizontal="left" vertical="top" wrapText="1"/>
    </xf>
    <xf numFmtId="0" fontId="1" fillId="0" borderId="39" xfId="0" applyFont="1" applyBorder="1" applyAlignment="1">
      <alignment horizontal="left" vertical="top" wrapText="1"/>
    </xf>
    <xf numFmtId="0" fontId="1" fillId="0" borderId="51" xfId="0" applyFont="1" applyBorder="1" applyAlignment="1">
      <alignment horizontal="left" vertical="center" wrapText="1"/>
    </xf>
    <xf numFmtId="0" fontId="1" fillId="0" borderId="27" xfId="0" applyFont="1" applyBorder="1" applyAlignment="1">
      <alignment horizontal="left" vertical="top" wrapText="1"/>
    </xf>
    <xf numFmtId="0" fontId="1" fillId="0" borderId="60" xfId="0" applyFont="1" applyBorder="1" applyAlignment="1">
      <alignment horizontal="center" vertical="center" wrapText="1"/>
    </xf>
    <xf numFmtId="0" fontId="1" fillId="0" borderId="45" xfId="0" applyFont="1" applyBorder="1" applyAlignment="1">
      <alignment horizontal="left" vertical="top" wrapText="1"/>
    </xf>
    <xf numFmtId="0" fontId="1" fillId="0" borderId="29" xfId="0" applyFont="1" applyBorder="1" applyAlignment="1">
      <alignment horizontal="left" vertical="top" wrapText="1"/>
    </xf>
    <xf numFmtId="0" fontId="1" fillId="0" borderId="59" xfId="0" applyFont="1" applyBorder="1" applyAlignment="1">
      <alignment horizontal="center" vertical="center"/>
    </xf>
    <xf numFmtId="0" fontId="1" fillId="0" borderId="45" xfId="0" applyFont="1" applyBorder="1" applyAlignment="1">
      <alignment horizontal="left" vertical="center"/>
    </xf>
    <xf numFmtId="0" fontId="1" fillId="0" borderId="57" xfId="0" applyFont="1" applyBorder="1" applyAlignment="1">
      <alignment horizontal="center" vertical="center"/>
    </xf>
    <xf numFmtId="0" fontId="1" fillId="0" borderId="36" xfId="0" applyFont="1" applyBorder="1" applyAlignment="1">
      <alignment horizontal="left" vertical="center"/>
    </xf>
    <xf numFmtId="0" fontId="1" fillId="0" borderId="58" xfId="0" applyFont="1" applyBorder="1" applyAlignment="1">
      <alignment horizontal="center" vertical="center"/>
    </xf>
    <xf numFmtId="0" fontId="1" fillId="0" borderId="29" xfId="0" applyFont="1" applyBorder="1" applyAlignment="1">
      <alignment horizontal="left" vertical="center"/>
    </xf>
    <xf numFmtId="0" fontId="1" fillId="0" borderId="56" xfId="0" applyFont="1" applyBorder="1" applyAlignment="1">
      <alignment horizontal="center" vertical="center"/>
    </xf>
    <xf numFmtId="0" fontId="1" fillId="0" borderId="28" xfId="0" applyFont="1" applyBorder="1" applyAlignment="1">
      <alignment horizontal="left" vertical="center"/>
    </xf>
    <xf numFmtId="0" fontId="1" fillId="0" borderId="61" xfId="0" applyFont="1" applyBorder="1" applyAlignment="1">
      <alignment horizontal="center" vertical="center"/>
    </xf>
    <xf numFmtId="0" fontId="1" fillId="0" borderId="39" xfId="0" applyFont="1" applyBorder="1" applyAlignment="1">
      <alignment horizontal="left" vertical="center"/>
    </xf>
    <xf numFmtId="0" fontId="1" fillId="0" borderId="39" xfId="0" applyFont="1" applyBorder="1" applyAlignment="1">
      <alignment vertical="top" wrapText="1"/>
    </xf>
    <xf numFmtId="0" fontId="1" fillId="0" borderId="23" xfId="0" quotePrefix="1" applyFont="1" applyBorder="1" applyAlignment="1">
      <alignment horizontal="center" vertical="center" wrapText="1"/>
    </xf>
    <xf numFmtId="0" fontId="1" fillId="0" borderId="28" xfId="0" applyFont="1" applyBorder="1" applyAlignment="1">
      <alignment horizontal="center" vertical="center"/>
    </xf>
    <xf numFmtId="0" fontId="1" fillId="0" borderId="29" xfId="0" applyFont="1" applyBorder="1" applyAlignment="1">
      <alignment horizontal="center" vertical="center"/>
    </xf>
    <xf numFmtId="0" fontId="1" fillId="0" borderId="28" xfId="0" applyFont="1" applyBorder="1" applyAlignment="1">
      <alignment vertical="center"/>
    </xf>
    <xf numFmtId="0" fontId="1" fillId="0" borderId="36" xfId="0" applyFont="1" applyBorder="1" applyAlignment="1">
      <alignment vertical="center"/>
    </xf>
    <xf numFmtId="0" fontId="1" fillId="0" borderId="36" xfId="0" applyFont="1" applyBorder="1" applyAlignment="1">
      <alignment horizontal="left" vertical="top" wrapText="1"/>
    </xf>
    <xf numFmtId="0" fontId="1" fillId="0" borderId="29" xfId="0" applyFont="1" applyBorder="1" applyAlignment="1">
      <alignment vertical="center"/>
    </xf>
    <xf numFmtId="0" fontId="1" fillId="3" borderId="33" xfId="0" applyFont="1" applyFill="1" applyBorder="1" applyAlignment="1">
      <alignment horizontal="center" vertical="center" wrapText="1"/>
    </xf>
    <xf numFmtId="0" fontId="1" fillId="3" borderId="34" xfId="0" quotePrefix="1" applyFont="1" applyFill="1" applyBorder="1" applyAlignment="1">
      <alignment horizontal="center" vertical="center" wrapText="1"/>
    </xf>
    <xf numFmtId="0" fontId="1" fillId="3" borderId="35" xfId="0" applyFont="1" applyFill="1" applyBorder="1" applyAlignment="1">
      <alignment horizontal="center" vertical="center" wrapText="1"/>
    </xf>
    <xf numFmtId="0" fontId="1" fillId="0" borderId="0" xfId="0" applyFont="1" applyAlignment="1">
      <alignment wrapText="1"/>
    </xf>
    <xf numFmtId="0" fontId="1" fillId="0" borderId="54" xfId="0" applyFont="1" applyBorder="1" applyAlignment="1">
      <alignment horizontal="center" vertical="center" wrapText="1"/>
    </xf>
    <xf numFmtId="164" fontId="1" fillId="0" borderId="14" xfId="0" applyNumberFormat="1" applyFont="1" applyBorder="1" applyAlignment="1">
      <alignment horizontal="center" vertical="center" wrapText="1"/>
    </xf>
    <xf numFmtId="164" fontId="1" fillId="0" borderId="14" xfId="0" applyNumberFormat="1" applyFont="1" applyBorder="1" applyAlignment="1">
      <alignment vertical="top" wrapText="1"/>
    </xf>
    <xf numFmtId="0" fontId="1" fillId="0" borderId="7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69" xfId="0" applyFont="1" applyBorder="1" applyAlignment="1">
      <alignment horizontal="center" vertical="center" wrapText="1"/>
    </xf>
    <xf numFmtId="0" fontId="1" fillId="0" borderId="8" xfId="0" applyFont="1" applyBorder="1" applyAlignment="1">
      <alignment horizontal="center" vertical="center" wrapText="1"/>
    </xf>
    <xf numFmtId="164" fontId="1" fillId="0" borderId="16" xfId="0" applyNumberFormat="1" applyFont="1" applyBorder="1" applyAlignment="1">
      <alignment horizontal="center" vertical="center" wrapText="1"/>
    </xf>
    <xf numFmtId="164" fontId="1" fillId="0" borderId="16" xfId="0" applyNumberFormat="1" applyFont="1" applyBorder="1" applyAlignment="1">
      <alignment vertical="top" wrapText="1"/>
    </xf>
    <xf numFmtId="0" fontId="1" fillId="0" borderId="19"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9" xfId="0" applyFont="1" applyBorder="1" applyAlignment="1">
      <alignment horizontal="center" vertical="center"/>
    </xf>
    <xf numFmtId="0" fontId="1" fillId="0" borderId="9" xfId="0" applyFont="1" applyBorder="1" applyAlignment="1">
      <alignment horizontal="center" vertical="center" wrapText="1"/>
    </xf>
    <xf numFmtId="164" fontId="1" fillId="0" borderId="15" xfId="0" applyNumberFormat="1" applyFont="1" applyBorder="1" applyAlignment="1">
      <alignment horizontal="center" vertical="center" wrapText="1"/>
    </xf>
    <xf numFmtId="164" fontId="1" fillId="0" borderId="15" xfId="0" applyNumberFormat="1" applyFont="1" applyBorder="1" applyAlignment="1">
      <alignment vertical="top" wrapText="1"/>
    </xf>
    <xf numFmtId="0" fontId="1" fillId="0" borderId="72"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0"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62" xfId="0" applyFont="1" applyBorder="1" applyAlignment="1">
      <alignment horizontal="center" vertical="center" wrapText="1"/>
    </xf>
    <xf numFmtId="164" fontId="1" fillId="0" borderId="28" xfId="0" applyNumberFormat="1" applyFont="1" applyBorder="1" applyAlignment="1">
      <alignment horizontal="left" vertical="top" wrapText="1"/>
    </xf>
    <xf numFmtId="164" fontId="1" fillId="0" borderId="36" xfId="0" applyNumberFormat="1" applyFont="1" applyBorder="1" applyAlignment="1">
      <alignment horizontal="center" vertical="center" wrapText="1"/>
    </xf>
    <xf numFmtId="164" fontId="1" fillId="0" borderId="36" xfId="0" applyNumberFormat="1" applyFont="1" applyBorder="1" applyAlignment="1">
      <alignment horizontal="left" vertical="center" wrapText="1"/>
    </xf>
    <xf numFmtId="164" fontId="1" fillId="0" borderId="36" xfId="0" applyNumberFormat="1" applyFont="1" applyBorder="1" applyAlignment="1">
      <alignment horizontal="left" vertical="top" wrapText="1"/>
    </xf>
    <xf numFmtId="0" fontId="1" fillId="0" borderId="2" xfId="0" applyFont="1" applyBorder="1" applyAlignment="1">
      <alignment horizontal="center" vertical="center" wrapText="1"/>
    </xf>
    <xf numFmtId="164" fontId="1" fillId="0" borderId="29" xfId="0" applyNumberFormat="1" applyFont="1" applyBorder="1" applyAlignment="1">
      <alignment horizontal="left" vertical="top" wrapText="1"/>
    </xf>
    <xf numFmtId="0" fontId="1" fillId="0" borderId="74" xfId="0" applyFont="1" applyBorder="1" applyAlignment="1">
      <alignment horizontal="center" vertical="center" wrapText="1"/>
    </xf>
    <xf numFmtId="0" fontId="1" fillId="0" borderId="75" xfId="0" applyFont="1" applyBorder="1" applyAlignment="1">
      <alignment horizontal="center" vertical="center" wrapText="1"/>
    </xf>
    <xf numFmtId="0" fontId="1" fillId="0" borderId="76" xfId="0" applyFont="1" applyBorder="1" applyAlignment="1">
      <alignment horizontal="center" vertical="center" wrapText="1"/>
    </xf>
    <xf numFmtId="164" fontId="1" fillId="0" borderId="30" xfId="0" applyNumberFormat="1" applyFont="1" applyBorder="1" applyAlignment="1">
      <alignment horizontal="center" vertical="center"/>
    </xf>
    <xf numFmtId="164" fontId="1" fillId="0" borderId="74" xfId="0" applyNumberFormat="1" applyFont="1" applyBorder="1" applyAlignment="1">
      <alignment horizontal="center" vertical="center"/>
    </xf>
    <xf numFmtId="1" fontId="1" fillId="0" borderId="32" xfId="0" applyNumberFormat="1" applyFont="1" applyBorder="1" applyAlignment="1">
      <alignment horizontal="center" vertical="center"/>
    </xf>
    <xf numFmtId="1" fontId="1" fillId="0" borderId="38" xfId="0" applyNumberFormat="1" applyFont="1" applyBorder="1" applyAlignment="1">
      <alignment horizontal="center" vertical="center"/>
    </xf>
    <xf numFmtId="0" fontId="1" fillId="0" borderId="33" xfId="0" applyFont="1" applyBorder="1" applyAlignment="1">
      <alignment horizontal="center" vertical="center"/>
    </xf>
    <xf numFmtId="0" fontId="1" fillId="0" borderId="76" xfId="0" applyFont="1" applyBorder="1" applyAlignment="1">
      <alignment horizontal="center" vertical="center"/>
    </xf>
    <xf numFmtId="9" fontId="1" fillId="0" borderId="35" xfId="0" applyNumberFormat="1" applyFont="1" applyBorder="1" applyAlignment="1">
      <alignment horizontal="center" vertical="center"/>
    </xf>
    <xf numFmtId="0" fontId="1" fillId="0" borderId="36" xfId="0" applyFont="1" applyBorder="1" applyAlignment="1">
      <alignment horizontal="center" vertical="center"/>
    </xf>
    <xf numFmtId="0" fontId="1" fillId="0" borderId="27" xfId="0" applyFont="1" applyBorder="1" applyAlignment="1">
      <alignment horizontal="left" vertical="center" wrapText="1"/>
    </xf>
    <xf numFmtId="0" fontId="1" fillId="0" borderId="44" xfId="0" quotePrefix="1" applyFont="1" applyBorder="1" applyAlignment="1">
      <alignment horizontal="center" vertical="center" wrapText="1"/>
    </xf>
    <xf numFmtId="1" fontId="1" fillId="0" borderId="44" xfId="0" applyNumberFormat="1" applyFont="1" applyBorder="1" applyAlignment="1">
      <alignment horizontal="center" vertical="center" wrapText="1"/>
    </xf>
    <xf numFmtId="0" fontId="1" fillId="0" borderId="36" xfId="0" applyFont="1" applyBorder="1" applyAlignment="1">
      <alignment vertical="center" wrapText="1"/>
    </xf>
    <xf numFmtId="0" fontId="1" fillId="3" borderId="28" xfId="0" applyFont="1" applyFill="1" applyBorder="1" applyAlignment="1">
      <alignment horizontal="center" vertical="center"/>
    </xf>
    <xf numFmtId="0" fontId="1" fillId="3" borderId="28" xfId="0" applyFont="1" applyFill="1" applyBorder="1" applyAlignment="1">
      <alignment horizontal="left" vertical="center" wrapText="1"/>
    </xf>
    <xf numFmtId="0" fontId="1" fillId="3" borderId="28" xfId="0" applyFont="1" applyFill="1" applyBorder="1" applyAlignment="1">
      <alignment vertical="top" wrapText="1"/>
    </xf>
    <xf numFmtId="0" fontId="1" fillId="3" borderId="36" xfId="0" applyFont="1" applyFill="1" applyBorder="1" applyAlignment="1">
      <alignment horizontal="center" vertical="center"/>
    </xf>
    <xf numFmtId="0" fontId="1" fillId="3" borderId="36" xfId="0" applyFont="1" applyFill="1" applyBorder="1" applyAlignment="1">
      <alignment horizontal="left" vertical="center" wrapText="1"/>
    </xf>
    <xf numFmtId="0" fontId="1" fillId="3" borderId="36" xfId="0" applyFont="1" applyFill="1" applyBorder="1" applyAlignment="1">
      <alignment vertical="top" wrapText="1"/>
    </xf>
    <xf numFmtId="0" fontId="1" fillId="3" borderId="29" xfId="0" applyFont="1" applyFill="1" applyBorder="1" applyAlignment="1">
      <alignment horizontal="center" vertical="center"/>
    </xf>
    <xf numFmtId="0" fontId="1" fillId="3" borderId="29" xfId="0" applyFont="1" applyFill="1" applyBorder="1" applyAlignment="1">
      <alignment horizontal="left" vertical="center" wrapText="1"/>
    </xf>
    <xf numFmtId="0" fontId="1" fillId="3" borderId="29" xfId="0" applyFont="1" applyFill="1" applyBorder="1" applyAlignment="1">
      <alignment vertical="top" wrapText="1"/>
    </xf>
    <xf numFmtId="0" fontId="1" fillId="0" borderId="28" xfId="0" applyFont="1" applyBorder="1" applyAlignment="1">
      <alignment vertical="center" wrapText="1"/>
    </xf>
    <xf numFmtId="0" fontId="1" fillId="0" borderId="81" xfId="0" applyFont="1" applyBorder="1" applyAlignment="1">
      <alignment horizontal="center" vertical="center"/>
    </xf>
    <xf numFmtId="0" fontId="1" fillId="0" borderId="81" xfId="0" applyFont="1" applyBorder="1" applyAlignment="1">
      <alignment horizontal="left" vertical="center" wrapText="1"/>
    </xf>
    <xf numFmtId="0" fontId="1" fillId="0" borderId="81" xfId="0" applyFont="1" applyBorder="1" applyAlignment="1">
      <alignment vertical="top" wrapText="1"/>
    </xf>
    <xf numFmtId="0" fontId="1" fillId="0" borderId="65" xfId="0" applyFont="1" applyBorder="1" applyAlignment="1">
      <alignment horizontal="center" vertical="center" wrapText="1"/>
    </xf>
    <xf numFmtId="0" fontId="1" fillId="0" borderId="27" xfId="0" applyFont="1" applyBorder="1" applyAlignment="1">
      <alignment vertical="top" wrapText="1"/>
    </xf>
    <xf numFmtId="0" fontId="1" fillId="3" borderId="28" xfId="0" applyFont="1" applyFill="1" applyBorder="1" applyAlignment="1">
      <alignment vertical="center" wrapText="1"/>
    </xf>
    <xf numFmtId="0" fontId="1" fillId="3" borderId="36" xfId="0" applyFont="1" applyFill="1" applyBorder="1" applyAlignment="1">
      <alignment vertical="center" wrapText="1"/>
    </xf>
    <xf numFmtId="0" fontId="1" fillId="3" borderId="29" xfId="0" applyFont="1" applyFill="1" applyBorder="1" applyAlignment="1">
      <alignment vertical="center" wrapText="1"/>
    </xf>
    <xf numFmtId="0" fontId="1" fillId="0" borderId="51" xfId="0" applyFont="1" applyBorder="1" applyAlignment="1">
      <alignment vertical="top" wrapText="1"/>
    </xf>
    <xf numFmtId="0" fontId="1" fillId="0" borderId="52" xfId="0" applyFont="1" applyBorder="1" applyAlignment="1">
      <alignment vertical="top" wrapText="1"/>
    </xf>
    <xf numFmtId="0" fontId="1" fillId="0" borderId="39" xfId="0" applyFont="1" applyBorder="1" applyAlignment="1">
      <alignment horizontal="center" vertical="center"/>
    </xf>
    <xf numFmtId="0" fontId="1" fillId="0" borderId="66" xfId="0" applyFont="1" applyBorder="1" applyAlignment="1">
      <alignment vertical="top" wrapText="1"/>
    </xf>
    <xf numFmtId="0" fontId="1" fillId="0" borderId="17"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1" xfId="0" quotePrefix="1" applyFont="1" applyBorder="1" applyAlignment="1">
      <alignment horizontal="center" vertical="center" wrapText="1"/>
    </xf>
    <xf numFmtId="0" fontId="1" fillId="0" borderId="12"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14" xfId="0" applyFont="1" applyBorder="1" applyAlignment="1">
      <alignment horizontal="left" vertical="center" wrapText="1"/>
    </xf>
    <xf numFmtId="0" fontId="1" fillId="0" borderId="14" xfId="0" applyFont="1" applyBorder="1" applyAlignment="1">
      <alignment horizontal="left" vertical="top" wrapText="1"/>
    </xf>
    <xf numFmtId="0" fontId="1" fillId="0" borderId="3" xfId="0" quotePrefix="1" applyFont="1" applyBorder="1" applyAlignment="1">
      <alignment horizontal="center" vertical="center" wrapText="1"/>
    </xf>
    <xf numFmtId="0" fontId="1" fillId="0" borderId="4"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6" xfId="0" applyFont="1" applyBorder="1" applyAlignment="1">
      <alignment horizontal="left" vertical="center" wrapText="1"/>
    </xf>
    <xf numFmtId="0" fontId="1" fillId="0" borderId="16" xfId="0" applyFont="1" applyBorder="1" applyAlignment="1">
      <alignment horizontal="left" vertical="top" wrapText="1"/>
    </xf>
    <xf numFmtId="0" fontId="1" fillId="0" borderId="5"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15" xfId="0" applyFont="1" applyBorder="1" applyAlignment="1">
      <alignment horizontal="left" vertical="center" wrapText="1"/>
    </xf>
    <xf numFmtId="0" fontId="1" fillId="0" borderId="15" xfId="0" applyFont="1" applyBorder="1" applyAlignment="1">
      <alignment horizontal="left" vertical="top" wrapText="1"/>
    </xf>
    <xf numFmtId="0" fontId="1" fillId="0" borderId="6" xfId="0" quotePrefix="1" applyFont="1" applyBorder="1" applyAlignment="1">
      <alignment horizontal="center" vertical="center" wrapText="1"/>
    </xf>
    <xf numFmtId="0" fontId="1" fillId="0" borderId="7" xfId="0" applyFont="1" applyBorder="1" applyAlignment="1">
      <alignment horizontal="center" vertical="center" wrapText="1"/>
    </xf>
    <xf numFmtId="0" fontId="1" fillId="0" borderId="0" xfId="0" applyFont="1"/>
    <xf numFmtId="0" fontId="1" fillId="0" borderId="0" xfId="0" applyFont="1" applyAlignment="1">
      <alignment horizontal="left" vertical="center"/>
    </xf>
    <xf numFmtId="0" fontId="0" fillId="0" borderId="30" xfId="0" applyBorder="1" applyAlignment="1">
      <alignment horizontal="center"/>
    </xf>
    <xf numFmtId="0" fontId="0" fillId="0" borderId="31" xfId="0" applyBorder="1" applyAlignment="1">
      <alignment horizontal="center"/>
    </xf>
    <xf numFmtId="0" fontId="0" fillId="0" borderId="32" xfId="0" applyBorder="1" applyAlignment="1">
      <alignment horizontal="center"/>
    </xf>
    <xf numFmtId="0" fontId="0" fillId="0" borderId="33" xfId="0" applyBorder="1" applyAlignment="1">
      <alignment horizontal="center"/>
    </xf>
    <xf numFmtId="0" fontId="0" fillId="0" borderId="34" xfId="0" applyBorder="1" applyAlignment="1">
      <alignment horizontal="center"/>
    </xf>
    <xf numFmtId="0" fontId="0" fillId="0" borderId="35" xfId="0" applyBorder="1" applyAlignment="1">
      <alignment horizontal="center"/>
    </xf>
    <xf numFmtId="0" fontId="0" fillId="0" borderId="37" xfId="0" applyBorder="1" applyAlignment="1">
      <alignment horizontal="center"/>
    </xf>
    <xf numFmtId="0" fontId="0" fillId="0" borderId="1" xfId="0" applyBorder="1" applyAlignment="1">
      <alignment horizontal="center"/>
    </xf>
    <xf numFmtId="0" fontId="0" fillId="0" borderId="38" xfId="0" applyBorder="1" applyAlignment="1">
      <alignment horizontal="center"/>
    </xf>
    <xf numFmtId="0" fontId="5" fillId="2" borderId="48" xfId="0" applyFont="1" applyFill="1" applyBorder="1" applyAlignment="1">
      <alignment horizontal="center" vertical="center"/>
    </xf>
    <xf numFmtId="0" fontId="5" fillId="2" borderId="49" xfId="0" applyFont="1" applyFill="1" applyBorder="1" applyAlignment="1">
      <alignment horizontal="center" vertical="center"/>
    </xf>
    <xf numFmtId="0" fontId="0" fillId="0" borderId="49" xfId="0" applyBorder="1" applyAlignment="1">
      <alignment horizontal="center" vertical="center"/>
    </xf>
    <xf numFmtId="0" fontId="0" fillId="0" borderId="50" xfId="0" applyBorder="1" applyAlignment="1">
      <alignment horizontal="center" vertical="center"/>
    </xf>
    <xf numFmtId="0" fontId="0" fillId="0" borderId="40" xfId="0" applyBorder="1" applyAlignment="1">
      <alignment horizontal="center"/>
    </xf>
    <xf numFmtId="0" fontId="0" fillId="0" borderId="23" xfId="0" applyBorder="1" applyAlignment="1">
      <alignment horizontal="center"/>
    </xf>
    <xf numFmtId="0" fontId="0" fillId="0" borderId="41" xfId="0" applyBorder="1" applyAlignment="1">
      <alignment horizontal="center"/>
    </xf>
    <xf numFmtId="0" fontId="18" fillId="0" borderId="42" xfId="0" applyFont="1" applyBorder="1" applyAlignment="1">
      <alignment horizontal="center" vertical="center"/>
    </xf>
    <xf numFmtId="0" fontId="18" fillId="0" borderId="43" xfId="0" applyFont="1" applyBorder="1" applyAlignment="1">
      <alignment horizontal="center" vertical="center"/>
    </xf>
    <xf numFmtId="0" fontId="18" fillId="0" borderId="44" xfId="0" applyFont="1" applyBorder="1" applyAlignment="1">
      <alignment horizontal="center" vertical="center"/>
    </xf>
    <xf numFmtId="0" fontId="0" fillId="0" borderId="46" xfId="0" applyBorder="1" applyAlignment="1">
      <alignment horizontal="center"/>
    </xf>
    <xf numFmtId="0" fontId="0" fillId="0" borderId="2" xfId="0" applyBorder="1" applyAlignment="1">
      <alignment horizontal="center"/>
    </xf>
    <xf numFmtId="0" fontId="0" fillId="0" borderId="47" xfId="0" applyBorder="1" applyAlignment="1">
      <alignment horizontal="center"/>
    </xf>
    <xf numFmtId="0" fontId="1" fillId="0" borderId="45" xfId="0" applyFont="1" applyBorder="1" applyAlignment="1">
      <alignment horizontal="center" vertical="center" wrapText="1"/>
    </xf>
    <xf numFmtId="0" fontId="1" fillId="0" borderId="29" xfId="0" applyFont="1" applyBorder="1" applyAlignment="1">
      <alignment horizontal="center" vertical="center" wrapText="1"/>
    </xf>
    <xf numFmtId="0" fontId="1" fillId="0" borderId="28" xfId="0" applyFont="1" applyBorder="1" applyAlignment="1">
      <alignment horizontal="center" vertical="center" wrapText="1"/>
    </xf>
    <xf numFmtId="0" fontId="1" fillId="0" borderId="36" xfId="0" applyFont="1" applyBorder="1" applyAlignment="1">
      <alignment horizontal="center" vertical="center" wrapText="1"/>
    </xf>
    <xf numFmtId="0" fontId="0" fillId="0" borderId="28" xfId="0" applyBorder="1" applyAlignment="1">
      <alignment horizontal="center" vertical="center"/>
    </xf>
    <xf numFmtId="0" fontId="0" fillId="0" borderId="36" xfId="0" applyBorder="1" applyAlignment="1">
      <alignment horizontal="center" vertical="center"/>
    </xf>
    <xf numFmtId="0" fontId="0" fillId="0" borderId="29" xfId="0" applyBorder="1" applyAlignment="1">
      <alignment horizontal="center" vertical="center"/>
    </xf>
    <xf numFmtId="0" fontId="9" fillId="0" borderId="30" xfId="0" applyFont="1" applyBorder="1" applyAlignment="1">
      <alignment vertical="top" wrapText="1"/>
    </xf>
    <xf numFmtId="0" fontId="0" fillId="0" borderId="31" xfId="0" applyBorder="1" applyAlignment="1">
      <alignment vertical="top"/>
    </xf>
    <xf numFmtId="0" fontId="0" fillId="0" borderId="32" xfId="0" applyBorder="1" applyAlignment="1">
      <alignment vertical="top"/>
    </xf>
    <xf numFmtId="0" fontId="0" fillId="0" borderId="37" xfId="0" applyBorder="1" applyAlignment="1">
      <alignment vertical="top"/>
    </xf>
    <xf numFmtId="0" fontId="0" fillId="0" borderId="1" xfId="0" applyBorder="1" applyAlignment="1">
      <alignment vertical="top"/>
    </xf>
    <xf numFmtId="0" fontId="0" fillId="0" borderId="38" xfId="0" applyBorder="1" applyAlignment="1">
      <alignment vertical="top"/>
    </xf>
    <xf numFmtId="0" fontId="0" fillId="0" borderId="33" xfId="0" applyBorder="1" applyAlignment="1">
      <alignment vertical="top"/>
    </xf>
    <xf numFmtId="0" fontId="0" fillId="0" borderId="34" xfId="0" applyBorder="1" applyAlignment="1">
      <alignment vertical="top"/>
    </xf>
    <xf numFmtId="0" fontId="0" fillId="0" borderId="35" xfId="0" applyBorder="1" applyAlignment="1">
      <alignment vertical="top"/>
    </xf>
    <xf numFmtId="1" fontId="1" fillId="0" borderId="32" xfId="0" applyNumberFormat="1" applyFont="1" applyBorder="1" applyAlignment="1">
      <alignment horizontal="center" vertical="center" wrapText="1"/>
    </xf>
    <xf numFmtId="1" fontId="1" fillId="0" borderId="35" xfId="0" applyNumberFormat="1" applyFont="1" applyBorder="1" applyAlignment="1">
      <alignment horizontal="center" vertical="center" wrapText="1"/>
    </xf>
    <xf numFmtId="1" fontId="1" fillId="0" borderId="38" xfId="0" applyNumberFormat="1" applyFont="1" applyBorder="1" applyAlignment="1">
      <alignment horizontal="center" vertical="center" wrapText="1"/>
    </xf>
    <xf numFmtId="0" fontId="1" fillId="0" borderId="39" xfId="0" applyFont="1" applyBorder="1" applyAlignment="1">
      <alignment horizontal="center" vertical="center" wrapText="1"/>
    </xf>
    <xf numFmtId="1" fontId="1" fillId="0" borderId="55" xfId="0" applyNumberFormat="1" applyFont="1" applyBorder="1" applyAlignment="1">
      <alignment horizontal="center" vertical="center" wrapText="1"/>
    </xf>
    <xf numFmtId="1" fontId="1" fillId="0" borderId="64" xfId="0" applyNumberFormat="1" applyFont="1" applyBorder="1" applyAlignment="1">
      <alignment horizontal="center" vertical="center" wrapText="1"/>
    </xf>
    <xf numFmtId="0" fontId="0" fillId="0" borderId="64" xfId="0" applyBorder="1" applyAlignment="1">
      <alignment horizontal="center" vertical="center" wrapText="1"/>
    </xf>
    <xf numFmtId="0" fontId="0" fillId="0" borderId="65" xfId="0" applyBorder="1" applyAlignment="1">
      <alignment horizontal="center" vertical="center" wrapText="1"/>
    </xf>
    <xf numFmtId="1" fontId="1" fillId="0" borderId="41" xfId="0" applyNumberFormat="1" applyFont="1" applyBorder="1" applyAlignment="1">
      <alignment horizontal="center" vertical="center" wrapText="1"/>
    </xf>
    <xf numFmtId="0" fontId="5" fillId="4" borderId="42" xfId="0" applyFont="1" applyFill="1" applyBorder="1" applyAlignment="1">
      <alignment horizontal="center" vertical="center" wrapText="1"/>
    </xf>
    <xf numFmtId="0" fontId="0" fillId="0" borderId="43" xfId="0" applyBorder="1" applyAlignment="1">
      <alignment horizontal="center" vertical="center" wrapText="1"/>
    </xf>
    <xf numFmtId="0" fontId="0" fillId="0" borderId="44" xfId="0" applyBorder="1" applyAlignment="1">
      <alignment horizontal="center" vertical="center" wrapText="1"/>
    </xf>
    <xf numFmtId="0" fontId="9" fillId="0" borderId="31" xfId="0" applyFont="1" applyBorder="1" applyAlignment="1">
      <alignment vertical="top" wrapText="1"/>
    </xf>
    <xf numFmtId="0" fontId="0" fillId="0" borderId="30" xfId="0" applyBorder="1" applyAlignment="1">
      <alignment horizontal="center" vertical="center"/>
    </xf>
    <xf numFmtId="0" fontId="0" fillId="0" borderId="37" xfId="0" applyBorder="1" applyAlignment="1">
      <alignment horizontal="center" vertical="center"/>
    </xf>
    <xf numFmtId="0" fontId="0" fillId="0" borderId="33" xfId="0" applyBorder="1" applyAlignment="1">
      <alignment horizontal="center" vertical="center"/>
    </xf>
    <xf numFmtId="0" fontId="1" fillId="0" borderId="43" xfId="0" applyFont="1" applyBorder="1" applyAlignment="1">
      <alignment vertical="top" wrapText="1"/>
    </xf>
    <xf numFmtId="0" fontId="0" fillId="0" borderId="43" xfId="0" applyBorder="1" applyAlignment="1">
      <alignment vertical="top" wrapText="1"/>
    </xf>
    <xf numFmtId="0" fontId="0" fillId="0" borderId="44" xfId="0" applyBorder="1" applyAlignment="1">
      <alignment vertical="top" wrapText="1"/>
    </xf>
    <xf numFmtId="0" fontId="1" fillId="0" borderId="54" xfId="0" applyFont="1" applyBorder="1" applyAlignment="1">
      <alignment vertical="top" wrapText="1"/>
    </xf>
    <xf numFmtId="0" fontId="0" fillId="0" borderId="54" xfId="0" applyBorder="1" applyAlignment="1">
      <alignment vertical="top" wrapText="1"/>
    </xf>
    <xf numFmtId="0" fontId="0" fillId="0" borderId="55" xfId="0" applyBorder="1" applyAlignment="1">
      <alignment vertical="top" wrapText="1"/>
    </xf>
    <xf numFmtId="0" fontId="1" fillId="0" borderId="26" xfId="0" applyFont="1" applyBorder="1" applyAlignment="1">
      <alignment vertical="top" wrapText="1"/>
    </xf>
    <xf numFmtId="0" fontId="0" fillId="0" borderId="0" xfId="0" applyAlignment="1">
      <alignment vertical="top" wrapText="1"/>
    </xf>
    <xf numFmtId="0" fontId="0" fillId="0" borderId="22" xfId="0" applyBorder="1" applyAlignment="1">
      <alignment vertical="top" wrapText="1"/>
    </xf>
    <xf numFmtId="1" fontId="11" fillId="0" borderId="32" xfId="0" applyNumberFormat="1" applyFont="1" applyBorder="1" applyAlignment="1">
      <alignment horizontal="center" vertical="center" wrapText="1"/>
    </xf>
    <xf numFmtId="1" fontId="11" fillId="0" borderId="35" xfId="0" applyNumberFormat="1" applyFont="1" applyBorder="1" applyAlignment="1">
      <alignment horizontal="center" vertical="center" wrapText="1"/>
    </xf>
    <xf numFmtId="0" fontId="1" fillId="0" borderId="51" xfId="0" applyFont="1" applyBorder="1" applyAlignment="1">
      <alignment horizontal="center" vertical="center" wrapText="1"/>
    </xf>
    <xf numFmtId="0" fontId="1" fillId="0" borderId="52" xfId="0" applyFont="1" applyBorder="1" applyAlignment="1">
      <alignment horizontal="center" vertical="center" wrapText="1"/>
    </xf>
    <xf numFmtId="0" fontId="1" fillId="0" borderId="53" xfId="0" applyFont="1" applyBorder="1" applyAlignment="1">
      <alignment horizontal="center" vertical="center" wrapText="1"/>
    </xf>
    <xf numFmtId="1" fontId="11" fillId="0" borderId="47" xfId="0" applyNumberFormat="1" applyFont="1" applyBorder="1" applyAlignment="1">
      <alignment horizontal="center" vertical="center" wrapText="1"/>
    </xf>
    <xf numFmtId="1" fontId="11" fillId="0" borderId="38" xfId="0" applyNumberFormat="1" applyFont="1" applyBorder="1" applyAlignment="1">
      <alignment horizontal="center" vertical="center" wrapText="1"/>
    </xf>
    <xf numFmtId="1" fontId="11" fillId="0" borderId="41" xfId="0" applyNumberFormat="1" applyFont="1" applyBorder="1" applyAlignment="1">
      <alignment horizontal="center" vertical="center" wrapText="1"/>
    </xf>
    <xf numFmtId="0" fontId="10" fillId="0" borderId="31" xfId="0" applyFont="1" applyBorder="1" applyAlignment="1">
      <alignment horizontal="center" vertical="center" wrapText="1"/>
    </xf>
    <xf numFmtId="0" fontId="10" fillId="0" borderId="34" xfId="0" applyFont="1" applyBorder="1" applyAlignment="1">
      <alignment horizontal="center" vertical="center" wrapText="1"/>
    </xf>
    <xf numFmtId="0" fontId="11" fillId="0" borderId="31" xfId="0" applyFont="1" applyBorder="1" applyAlignment="1">
      <alignment horizontal="center" vertical="center" wrapText="1"/>
    </xf>
    <xf numFmtId="0" fontId="11" fillId="0" borderId="34" xfId="0" applyFont="1" applyBorder="1" applyAlignment="1">
      <alignment horizontal="center" vertical="center" wrapText="1"/>
    </xf>
    <xf numFmtId="0" fontId="1" fillId="0" borderId="30" xfId="0" applyFont="1" applyBorder="1"/>
    <xf numFmtId="0" fontId="0" fillId="0" borderId="31" xfId="0" applyBorder="1"/>
    <xf numFmtId="0" fontId="1" fillId="0" borderId="37" xfId="0" applyFont="1" applyBorder="1"/>
    <xf numFmtId="0" fontId="0" fillId="0" borderId="1" xfId="0" applyBorder="1"/>
    <xf numFmtId="0" fontId="1" fillId="0" borderId="33" xfId="0" applyFont="1" applyBorder="1"/>
    <xf numFmtId="0" fontId="0" fillId="0" borderId="34" xfId="0" applyBorder="1"/>
    <xf numFmtId="0" fontId="5" fillId="2" borderId="42" xfId="0" applyFont="1" applyFill="1" applyBorder="1" applyAlignment="1">
      <alignment horizontal="center" vertical="center"/>
    </xf>
    <xf numFmtId="0" fontId="5" fillId="2" borderId="43" xfId="0" applyFont="1" applyFill="1" applyBorder="1" applyAlignment="1">
      <alignment horizontal="center" vertical="center"/>
    </xf>
    <xf numFmtId="0" fontId="5" fillId="2" borderId="44" xfId="0" applyFont="1" applyFill="1" applyBorder="1" applyAlignment="1">
      <alignment horizontal="center" vertical="center"/>
    </xf>
    <xf numFmtId="0" fontId="11" fillId="0" borderId="1" xfId="0" applyFont="1" applyBorder="1" applyAlignment="1">
      <alignment horizontal="center" vertical="center" wrapText="1"/>
    </xf>
    <xf numFmtId="0" fontId="0" fillId="0" borderId="0" xfId="0" applyAlignment="1">
      <alignment horizontal="left"/>
    </xf>
    <xf numFmtId="0" fontId="0" fillId="0" borderId="0" xfId="0" applyAlignment="1">
      <alignment horizontal="center"/>
    </xf>
    <xf numFmtId="0" fontId="0" fillId="0" borderId="0" xfId="0" applyAlignment="1">
      <alignment horizontal="center" vertical="center"/>
    </xf>
    <xf numFmtId="0" fontId="10" fillId="0" borderId="1" xfId="0" applyFont="1" applyBorder="1" applyAlignment="1">
      <alignment horizontal="center" vertical="center" wrapText="1"/>
    </xf>
    <xf numFmtId="0" fontId="10" fillId="0" borderId="2" xfId="0" applyFont="1" applyBorder="1" applyAlignment="1">
      <alignment horizontal="center" vertical="center" wrapText="1"/>
    </xf>
    <xf numFmtId="1" fontId="1" fillId="0" borderId="47" xfId="0" applyNumberFormat="1" applyFont="1" applyBorder="1" applyAlignment="1">
      <alignment horizontal="center" vertical="center" wrapText="1"/>
    </xf>
    <xf numFmtId="0" fontId="10" fillId="0" borderId="23" xfId="0" applyFont="1" applyBorder="1" applyAlignment="1">
      <alignment horizontal="center" vertical="center" wrapText="1"/>
    </xf>
    <xf numFmtId="0" fontId="19" fillId="0" borderId="0" xfId="0" applyFont="1" applyAlignment="1">
      <alignment horizontal="center"/>
    </xf>
    <xf numFmtId="0" fontId="5" fillId="2" borderId="42" xfId="0" applyFont="1" applyFill="1" applyBorder="1" applyAlignment="1">
      <alignment horizontal="center" vertical="center" wrapText="1"/>
    </xf>
    <xf numFmtId="0" fontId="0" fillId="0" borderId="43" xfId="0" applyBorder="1"/>
    <xf numFmtId="0" fontId="0" fillId="0" borderId="73" xfId="0" applyBorder="1"/>
    <xf numFmtId="0" fontId="0" fillId="0" borderId="44" xfId="0" applyBorder="1"/>
    <xf numFmtId="0" fontId="1" fillId="0" borderId="42" xfId="0" applyFont="1" applyBorder="1" applyAlignment="1">
      <alignment vertical="top" wrapText="1"/>
    </xf>
    <xf numFmtId="0" fontId="0" fillId="0" borderId="73" xfId="0" applyBorder="1" applyAlignment="1">
      <alignment vertical="top" wrapText="1"/>
    </xf>
    <xf numFmtId="0" fontId="1" fillId="0" borderId="54" xfId="0" applyFont="1" applyBorder="1" applyAlignment="1">
      <alignment horizontal="center" vertical="center" wrapText="1"/>
    </xf>
    <xf numFmtId="0" fontId="1" fillId="0" borderId="68" xfId="0" applyFont="1" applyBorder="1" applyAlignment="1">
      <alignment horizontal="center" vertical="center" wrapText="1"/>
    </xf>
    <xf numFmtId="0" fontId="1" fillId="0" borderId="79" xfId="0" applyFont="1" applyBorder="1" applyAlignment="1">
      <alignment horizontal="center" vertical="center" wrapText="1"/>
    </xf>
    <xf numFmtId="0" fontId="11" fillId="0" borderId="54" xfId="0" applyFont="1" applyBorder="1" applyAlignment="1">
      <alignment horizontal="center" vertical="center" wrapText="1"/>
    </xf>
    <xf numFmtId="0" fontId="11" fillId="0" borderId="68" xfId="0" applyFont="1" applyBorder="1" applyAlignment="1">
      <alignment horizontal="center" vertical="center" wrapText="1"/>
    </xf>
    <xf numFmtId="0" fontId="11" fillId="0" borderId="79" xfId="0" applyFont="1" applyBorder="1" applyAlignment="1">
      <alignment horizontal="center" vertical="center" wrapText="1"/>
    </xf>
    <xf numFmtId="0" fontId="1" fillId="0" borderId="25" xfId="0" applyFont="1" applyBorder="1" applyAlignment="1">
      <alignment horizontal="center" vertical="center" wrapText="1"/>
    </xf>
    <xf numFmtId="0" fontId="1" fillId="0" borderId="80" xfId="0" applyFont="1" applyBorder="1" applyAlignment="1">
      <alignment horizontal="center" vertical="center" wrapText="1"/>
    </xf>
    <xf numFmtId="0" fontId="1" fillId="0" borderId="28" xfId="0" applyFont="1" applyBorder="1" applyAlignment="1">
      <alignment horizontal="center" vertical="center"/>
    </xf>
    <xf numFmtId="0" fontId="1" fillId="0" borderId="30" xfId="0" applyFont="1" applyBorder="1" applyAlignment="1">
      <alignment vertical="top" wrapText="1"/>
    </xf>
    <xf numFmtId="0" fontId="0" fillId="0" borderId="31" xfId="0" applyBorder="1" applyAlignment="1">
      <alignment vertical="top" wrapText="1"/>
    </xf>
    <xf numFmtId="0" fontId="0" fillId="0" borderId="32" xfId="0" applyBorder="1" applyAlignment="1">
      <alignment vertical="top" wrapText="1"/>
    </xf>
    <xf numFmtId="0" fontId="0" fillId="0" borderId="37" xfId="0" applyBorder="1" applyAlignment="1">
      <alignment vertical="top" wrapText="1"/>
    </xf>
    <xf numFmtId="0" fontId="0" fillId="0" borderId="1" xfId="0" applyBorder="1" applyAlignment="1">
      <alignment vertical="top" wrapText="1"/>
    </xf>
    <xf numFmtId="0" fontId="0" fillId="0" borderId="38" xfId="0" applyBorder="1" applyAlignment="1">
      <alignment vertical="top" wrapText="1"/>
    </xf>
    <xf numFmtId="0" fontId="0" fillId="0" borderId="33" xfId="0" applyBorder="1" applyAlignment="1">
      <alignment vertical="top" wrapText="1"/>
    </xf>
    <xf numFmtId="0" fontId="0" fillId="0" borderId="34" xfId="0" applyBorder="1" applyAlignment="1">
      <alignment vertical="top" wrapText="1"/>
    </xf>
    <xf numFmtId="0" fontId="0" fillId="0" borderId="35" xfId="0" applyBorder="1" applyAlignment="1">
      <alignment vertical="top" wrapText="1"/>
    </xf>
    <xf numFmtId="0" fontId="1" fillId="0" borderId="63" xfId="0" applyFont="1" applyBorder="1" applyAlignment="1">
      <alignment vertical="top" wrapText="1"/>
    </xf>
    <xf numFmtId="0" fontId="0" fillId="0" borderId="77" xfId="0" applyBorder="1" applyAlignment="1">
      <alignment vertical="top" wrapText="1"/>
    </xf>
    <xf numFmtId="0" fontId="1" fillId="0" borderId="67" xfId="0" applyFont="1" applyBorder="1" applyAlignment="1">
      <alignment vertical="top" wrapText="1"/>
    </xf>
    <xf numFmtId="0" fontId="0" fillId="0" borderId="68" xfId="0" applyBorder="1" applyAlignment="1">
      <alignment vertical="top" wrapText="1"/>
    </xf>
    <xf numFmtId="0" fontId="0" fillId="0" borderId="78" xfId="0" applyBorder="1" applyAlignment="1">
      <alignment vertical="top" wrapText="1"/>
    </xf>
    <xf numFmtId="0" fontId="0" fillId="0" borderId="64" xfId="0" applyBorder="1" applyAlignment="1">
      <alignment vertical="top" wrapText="1"/>
    </xf>
    <xf numFmtId="1" fontId="1" fillId="0" borderId="4" xfId="0" applyNumberFormat="1" applyFont="1" applyBorder="1" applyAlignment="1">
      <alignment horizontal="center" vertical="center" wrapText="1"/>
    </xf>
    <xf numFmtId="1" fontId="1" fillId="0" borderId="5" xfId="0" applyNumberFormat="1" applyFont="1" applyBorder="1" applyAlignment="1">
      <alignment horizontal="center" vertical="center" wrapText="1"/>
    </xf>
    <xf numFmtId="1" fontId="1" fillId="0" borderId="7" xfId="0" applyNumberFormat="1" applyFont="1" applyBorder="1" applyAlignment="1">
      <alignment horizontal="center" vertical="center" wrapText="1"/>
    </xf>
    <xf numFmtId="0" fontId="10" fillId="0" borderId="28"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9" xfId="0" applyFont="1" applyBorder="1" applyAlignment="1">
      <alignment horizontal="center" vertical="center" wrapText="1"/>
    </xf>
    <xf numFmtId="0" fontId="15" fillId="0" borderId="1" xfId="0" applyFont="1" applyBorder="1" applyAlignment="1">
      <alignment horizontal="center" vertical="center" wrapText="1"/>
    </xf>
    <xf numFmtId="0" fontId="15" fillId="0" borderId="23" xfId="0" applyFont="1" applyBorder="1" applyAlignment="1">
      <alignment horizontal="center" vertical="center" wrapText="1"/>
    </xf>
    <xf numFmtId="1" fontId="10" fillId="0" borderId="32" xfId="0" applyNumberFormat="1" applyFont="1" applyBorder="1" applyAlignment="1">
      <alignment horizontal="center" vertical="center" wrapText="1"/>
    </xf>
    <xf numFmtId="1" fontId="10" fillId="0" borderId="38" xfId="0" applyNumberFormat="1" applyFont="1" applyBorder="1" applyAlignment="1">
      <alignment horizontal="center" vertical="center" wrapText="1"/>
    </xf>
    <xf numFmtId="1" fontId="10" fillId="0" borderId="41" xfId="0" applyNumberFormat="1" applyFont="1" applyBorder="1" applyAlignment="1">
      <alignment horizontal="center" vertical="center" wrapText="1"/>
    </xf>
    <xf numFmtId="0" fontId="20" fillId="2" borderId="42" xfId="0" applyFont="1" applyFill="1" applyBorder="1" applyAlignment="1">
      <alignment horizontal="center" vertical="center"/>
    </xf>
    <xf numFmtId="0" fontId="20" fillId="2" borderId="43" xfId="0" applyFont="1" applyFill="1" applyBorder="1" applyAlignment="1">
      <alignment horizontal="center" vertical="center"/>
    </xf>
    <xf numFmtId="0" fontId="20" fillId="2" borderId="44" xfId="0" applyFont="1" applyFill="1" applyBorder="1" applyAlignment="1">
      <alignment horizontal="center" vertical="center"/>
    </xf>
    <xf numFmtId="0" fontId="0" fillId="0" borderId="1" xfId="0" applyBorder="1" applyAlignment="1">
      <alignment horizontal="center" vertical="center" wrapText="1"/>
    </xf>
    <xf numFmtId="0" fontId="0" fillId="0" borderId="34" xfId="0" applyBorder="1" applyAlignment="1">
      <alignment horizontal="center" vertical="center" wrapText="1"/>
    </xf>
    <xf numFmtId="0" fontId="0" fillId="0" borderId="44" xfId="0" applyBorder="1" applyAlignment="1">
      <alignment wrapText="1"/>
    </xf>
    <xf numFmtId="0" fontId="10" fillId="0" borderId="29" xfId="0" applyFont="1" applyBorder="1" applyAlignment="1">
      <alignment horizontal="center" vertical="center" wrapText="1"/>
    </xf>
    <xf numFmtId="0" fontId="15" fillId="0" borderId="34" xfId="0" applyFont="1" applyBorder="1" applyAlignment="1">
      <alignment horizontal="center" vertical="center" wrapText="1"/>
    </xf>
    <xf numFmtId="1" fontId="10" fillId="0" borderId="35" xfId="0" applyNumberFormat="1" applyFont="1" applyBorder="1" applyAlignment="1">
      <alignment horizontal="center" vertical="center" wrapText="1"/>
    </xf>
    <xf numFmtId="0" fontId="10" fillId="0" borderId="42" xfId="0" applyFont="1" applyBorder="1" applyAlignment="1">
      <alignment vertical="top" wrapText="1"/>
    </xf>
    <xf numFmtId="0" fontId="15" fillId="0" borderId="43" xfId="0" applyFont="1" applyBorder="1" applyAlignment="1">
      <alignment vertical="top" wrapText="1"/>
    </xf>
    <xf numFmtId="0" fontId="15" fillId="0" borderId="44" xfId="0" applyFont="1" applyBorder="1" applyAlignment="1">
      <alignment wrapText="1"/>
    </xf>
    <xf numFmtId="0" fontId="1" fillId="0" borderId="30" xfId="0" applyFont="1" applyBorder="1" applyAlignment="1">
      <alignment vertical="top"/>
    </xf>
    <xf numFmtId="0" fontId="0" fillId="0" borderId="0" xfId="0" applyAlignment="1">
      <alignment horizontal="center" wrapText="1"/>
    </xf>
    <xf numFmtId="0" fontId="11" fillId="0" borderId="28" xfId="0" applyFont="1" applyBorder="1" applyAlignment="1">
      <alignment horizontal="center" vertical="center" wrapText="1"/>
    </xf>
    <xf numFmtId="0" fontId="11" fillId="0" borderId="36" xfId="0" applyFont="1" applyBorder="1" applyAlignment="1">
      <alignment horizontal="center" vertical="center" wrapText="1"/>
    </xf>
    <xf numFmtId="0" fontId="11" fillId="0" borderId="29" xfId="0" applyFont="1" applyBorder="1" applyAlignment="1">
      <alignment horizontal="center" vertical="center" wrapText="1"/>
    </xf>
    <xf numFmtId="0" fontId="5" fillId="2" borderId="20" xfId="0" applyFont="1" applyFill="1" applyBorder="1" applyAlignment="1">
      <alignment horizontal="center" vertical="center"/>
    </xf>
    <xf numFmtId="0" fontId="5" fillId="2" borderId="25" xfId="0" applyFont="1" applyFill="1" applyBorder="1" applyAlignment="1">
      <alignment horizontal="center" vertical="center"/>
    </xf>
    <xf numFmtId="0" fontId="5" fillId="2" borderId="21" xfId="0" applyFont="1" applyFill="1" applyBorder="1" applyAlignment="1">
      <alignment horizontal="center" vertical="center"/>
    </xf>
    <xf numFmtId="0" fontId="1" fillId="0" borderId="28" xfId="0" applyFont="1" applyBorder="1" applyAlignment="1">
      <alignment horizontal="left" vertical="center" wrapText="1"/>
    </xf>
    <xf numFmtId="0" fontId="1" fillId="0" borderId="36" xfId="0" applyFont="1" applyBorder="1" applyAlignment="1">
      <alignment horizontal="left" vertical="center" wrapText="1"/>
    </xf>
    <xf numFmtId="0" fontId="1" fillId="0" borderId="29" xfId="0" applyFont="1" applyBorder="1" applyAlignment="1">
      <alignment horizontal="left" vertical="center" wrapText="1"/>
    </xf>
    <xf numFmtId="0" fontId="0" fillId="0" borderId="38" xfId="0" applyBorder="1" applyAlignment="1">
      <alignment horizontal="center" vertical="center" wrapText="1"/>
    </xf>
    <xf numFmtId="0" fontId="0" fillId="0" borderId="35" xfId="0" applyBorder="1" applyAlignment="1">
      <alignment horizontal="center" vertical="center" wrapText="1"/>
    </xf>
    <xf numFmtId="0" fontId="0" fillId="0" borderId="55" xfId="0" applyBorder="1" applyAlignment="1">
      <alignment wrapText="1"/>
    </xf>
    <xf numFmtId="0" fontId="11" fillId="0" borderId="30" xfId="0" applyFont="1" applyBorder="1" applyAlignment="1">
      <alignment horizontal="center" vertical="center" wrapText="1"/>
    </xf>
    <xf numFmtId="0" fontId="11" fillId="0" borderId="37" xfId="0" applyFont="1" applyBorder="1" applyAlignment="1">
      <alignment horizontal="center" vertical="center" wrapText="1"/>
    </xf>
    <xf numFmtId="0" fontId="11" fillId="0" borderId="33" xfId="0" applyFont="1" applyBorder="1" applyAlignment="1">
      <alignment horizontal="center" vertical="center" wrapText="1"/>
    </xf>
    <xf numFmtId="0" fontId="1" fillId="0" borderId="10" xfId="0" applyFont="1" applyBorder="1"/>
    <xf numFmtId="0" fontId="0" fillId="0" borderId="6" xfId="0" applyBorder="1"/>
    <xf numFmtId="0" fontId="1" fillId="0" borderId="8" xfId="0" applyFont="1" applyBorder="1"/>
    <xf numFmtId="0" fontId="0" fillId="0" borderId="3" xfId="0" applyBorder="1"/>
    <xf numFmtId="0" fontId="1" fillId="0" borderId="9" xfId="0" applyFont="1" applyBorder="1"/>
    <xf numFmtId="0" fontId="5" fillId="2" borderId="13" xfId="0" applyFont="1" applyFill="1" applyBorder="1" applyAlignment="1">
      <alignment horizontal="center" vertical="center"/>
    </xf>
    <xf numFmtId="0" fontId="5" fillId="2" borderId="11" xfId="0" applyFont="1" applyFill="1" applyBorder="1" applyAlignment="1">
      <alignment horizontal="center" vertical="center"/>
    </xf>
    <xf numFmtId="0" fontId="5" fillId="2" borderId="12" xfId="0" applyFont="1" applyFill="1" applyBorder="1" applyAlignment="1">
      <alignment horizontal="center"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pageSetUpPr fitToPage="1"/>
  </sheetPr>
  <dimension ref="A1:Z33"/>
  <sheetViews>
    <sheetView zoomScale="85" zoomScaleNormal="85" workbookViewId="0">
      <pane xSplit="1" ySplit="3" topLeftCell="B9" activePane="bottomRight" state="frozen"/>
      <selection pane="topRight"/>
      <selection pane="bottomLeft"/>
      <selection pane="bottomRight" activeCell="R23" sqref="R23"/>
    </sheetView>
  </sheetViews>
  <sheetFormatPr defaultColWidth="8.6640625" defaultRowHeight="15.6"/>
  <cols>
    <col min="1" max="1" width="14" style="5" bestFit="1" customWidth="1"/>
    <col min="2" max="2" width="7.33203125" style="8" customWidth="1"/>
    <col min="3" max="3" width="26.6640625" style="5" bestFit="1" customWidth="1"/>
    <col min="4" max="4" width="71.6640625" style="2" customWidth="1"/>
    <col min="5" max="5" width="12.33203125" bestFit="1" customWidth="1"/>
    <col min="6" max="7" width="4.33203125" bestFit="1" customWidth="1"/>
    <col min="8" max="16" width="3.33203125" bestFit="1" customWidth="1"/>
    <col min="17" max="17" width="8.6640625" bestFit="1" customWidth="1"/>
    <col min="18" max="18" width="14" bestFit="1" customWidth="1"/>
    <col min="19" max="19" width="6.44140625" customWidth="1"/>
  </cols>
  <sheetData>
    <row r="1" spans="1:26" ht="16.2" thickBot="1">
      <c r="B1" s="135"/>
    </row>
    <row r="2" spans="1:26" ht="34.799999999999997" thickTop="1" thickBot="1">
      <c r="A2" s="300" t="s">
        <v>0</v>
      </c>
      <c r="B2" s="301"/>
      <c r="C2" s="301"/>
      <c r="D2" s="301"/>
      <c r="E2" s="301"/>
      <c r="F2" s="301"/>
      <c r="G2" s="301"/>
      <c r="H2" s="301"/>
      <c r="I2" s="301"/>
      <c r="J2" s="301"/>
      <c r="K2" s="301"/>
      <c r="L2" s="301"/>
      <c r="M2" s="301"/>
      <c r="N2" s="301"/>
      <c r="O2" s="301"/>
      <c r="P2" s="301"/>
      <c r="Q2" s="301"/>
      <c r="R2" s="301"/>
      <c r="S2" s="301"/>
      <c r="T2" s="302"/>
      <c r="U2" s="302"/>
      <c r="V2" s="302"/>
      <c r="W2" s="302"/>
      <c r="X2" s="302"/>
      <c r="Y2" s="302"/>
      <c r="Z2" s="303"/>
    </row>
    <row r="3" spans="1:26" ht="63.6" thickTop="1" thickBot="1">
      <c r="A3" s="136" t="s">
        <v>1</v>
      </c>
      <c r="B3" s="136" t="s">
        <v>2</v>
      </c>
      <c r="C3" s="136" t="s">
        <v>3</v>
      </c>
      <c r="D3" s="43" t="s">
        <v>4</v>
      </c>
      <c r="E3" s="133" t="s">
        <v>5</v>
      </c>
      <c r="F3" s="137" t="s">
        <v>6</v>
      </c>
      <c r="G3" s="137" t="s">
        <v>7</v>
      </c>
      <c r="H3" s="137" t="s">
        <v>8</v>
      </c>
      <c r="I3" s="137" t="s">
        <v>9</v>
      </c>
      <c r="J3" s="137" t="s">
        <v>10</v>
      </c>
      <c r="K3" s="137" t="s">
        <v>11</v>
      </c>
      <c r="L3" s="137" t="s">
        <v>12</v>
      </c>
      <c r="M3" s="137" t="s">
        <v>13</v>
      </c>
      <c r="N3" s="137" t="s">
        <v>14</v>
      </c>
      <c r="O3" s="137" t="s">
        <v>15</v>
      </c>
      <c r="P3" s="137" t="s">
        <v>16</v>
      </c>
      <c r="Q3" s="138" t="s">
        <v>17</v>
      </c>
      <c r="R3" s="133" t="s">
        <v>18</v>
      </c>
      <c r="S3" s="138" t="s">
        <v>19</v>
      </c>
      <c r="T3" s="307" t="s">
        <v>20</v>
      </c>
      <c r="U3" s="308"/>
      <c r="V3" s="308"/>
      <c r="W3" s="308"/>
      <c r="X3" s="308"/>
      <c r="Y3" s="308"/>
      <c r="Z3" s="309"/>
    </row>
    <row r="4" spans="1:26" ht="47.4" thickTop="1">
      <c r="A4" s="313" t="s">
        <v>21</v>
      </c>
      <c r="B4" s="139" t="str">
        <f>Data!A5</f>
        <v>i</v>
      </c>
      <c r="C4" s="140" t="str">
        <f>Data!B5</f>
        <v>Cover Page and Table of Contents</v>
      </c>
      <c r="D4" s="141" t="str">
        <f>Data!C5</f>
        <v>Professional representation of the project. Gate Report sections listed (e.g., body, references, and appendices) with correct page numbers. Updated and/or impacted sections highlighted in red.</v>
      </c>
      <c r="E4" s="142" t="s">
        <v>22</v>
      </c>
      <c r="F4" s="143"/>
      <c r="G4" s="143"/>
      <c r="H4" s="143"/>
      <c r="I4" s="143"/>
      <c r="J4" s="143"/>
      <c r="K4" s="143"/>
      <c r="L4" s="143"/>
      <c r="M4" s="143"/>
      <c r="N4" s="143"/>
      <c r="O4" s="143"/>
      <c r="P4" s="143"/>
      <c r="Q4" s="144"/>
      <c r="R4" s="28">
        <f t="shared" ref="R4:R23" si="0">IF(E4="x",12,IF(F4="x",11,IF(G4="x",10,IF(H4="x",9,IF(I4="x",8,IF(J4="x",7,IF(K4="x",6,IF(L4="x",5,IF(M4="x",4,IF(N4="x",3,IF(O4="x",2,IF(P4="x",1,IF(Q4="x",0,"")))))))))))))</f>
        <v>12</v>
      </c>
      <c r="S4" s="329">
        <f>AVERAGE(R4:R5)</f>
        <v>12</v>
      </c>
      <c r="T4" s="310"/>
      <c r="U4" s="311"/>
      <c r="V4" s="311"/>
      <c r="W4" s="311"/>
      <c r="X4" s="311"/>
      <c r="Y4" s="311"/>
      <c r="Z4" s="312"/>
    </row>
    <row r="5" spans="1:26" ht="31.8" thickBot="1">
      <c r="A5" s="314"/>
      <c r="B5" s="145" t="str">
        <f>Data!A6</f>
        <v>ii</v>
      </c>
      <c r="C5" s="146" t="str">
        <f>Data!B6</f>
        <v>Executive Summary</v>
      </c>
      <c r="D5" s="147" t="str">
        <f>Data!C6</f>
        <v>Concise summary of the current accomplishments and the future expectations for the next Gate Report. Updated at every Gate Report.</v>
      </c>
      <c r="E5" s="148" t="s">
        <v>22</v>
      </c>
      <c r="F5" s="149"/>
      <c r="G5" s="149"/>
      <c r="H5" s="149"/>
      <c r="I5" s="149"/>
      <c r="J5" s="149"/>
      <c r="K5" s="149"/>
      <c r="L5" s="149"/>
      <c r="M5" s="149"/>
      <c r="N5" s="149"/>
      <c r="O5" s="149"/>
      <c r="P5" s="149"/>
      <c r="Q5" s="150"/>
      <c r="R5" s="29">
        <f t="shared" si="0"/>
        <v>12</v>
      </c>
      <c r="S5" s="330"/>
      <c r="T5" s="294"/>
      <c r="U5" s="295"/>
      <c r="V5" s="295"/>
      <c r="W5" s="295"/>
      <c r="X5" s="295"/>
      <c r="Y5" s="295"/>
      <c r="Z5" s="296"/>
    </row>
    <row r="6" spans="1:26" ht="45.75" customHeight="1" thickTop="1">
      <c r="A6" s="315" t="s">
        <v>23</v>
      </c>
      <c r="B6" s="151">
        <f>Data!A23</f>
        <v>1.1000000000000001</v>
      </c>
      <c r="C6" s="152" t="str">
        <f>Data!B23</f>
        <v>Problem Description</v>
      </c>
      <c r="D6" s="112" t="str">
        <f>Data!C23</f>
        <v>Includes context to the problem, reason for the problem, need for this project, defines who is impacted by the problem (customer / market) and how.</v>
      </c>
      <c r="E6" s="131" t="s">
        <v>22</v>
      </c>
      <c r="F6" s="153"/>
      <c r="G6" s="153"/>
      <c r="H6" s="153"/>
      <c r="I6" s="153"/>
      <c r="J6" s="153"/>
      <c r="K6" s="153"/>
      <c r="L6" s="153"/>
      <c r="M6" s="153"/>
      <c r="N6" s="153"/>
      <c r="O6" s="153"/>
      <c r="P6" s="153"/>
      <c r="Q6" s="154"/>
      <c r="R6" s="28">
        <f t="shared" si="0"/>
        <v>12</v>
      </c>
      <c r="S6" s="333">
        <f>AVERAGE(R6:R9)</f>
        <v>12</v>
      </c>
      <c r="T6" s="291"/>
      <c r="U6" s="292"/>
      <c r="V6" s="292"/>
      <c r="W6" s="292"/>
      <c r="X6" s="292"/>
      <c r="Y6" s="292"/>
      <c r="Z6" s="293"/>
    </row>
    <row r="7" spans="1:26" ht="46.8">
      <c r="A7" s="316"/>
      <c r="B7" s="155">
        <f>Data!A24</f>
        <v>1.2</v>
      </c>
      <c r="C7" s="156" t="str">
        <f>Data!B24</f>
        <v>Problem Statement</v>
      </c>
      <c r="D7" s="113" t="str">
        <f>Data!C24</f>
        <v>Describes the problem in technical detail and Quantifies the impact on the customer/market. Introduce critical performance metrics. Defines the end-user population (e.g., person, environment, or organization).</v>
      </c>
      <c r="E7" s="130" t="s">
        <v>22</v>
      </c>
      <c r="F7" s="157"/>
      <c r="G7" s="157"/>
      <c r="H7" s="157"/>
      <c r="I7" s="157"/>
      <c r="J7" s="157"/>
      <c r="K7" s="157"/>
      <c r="L7" s="157"/>
      <c r="M7" s="157"/>
      <c r="N7" s="157"/>
      <c r="O7" s="157"/>
      <c r="P7" s="157"/>
      <c r="Q7" s="158"/>
      <c r="R7" s="32">
        <f t="shared" si="0"/>
        <v>12</v>
      </c>
      <c r="S7" s="334"/>
      <c r="T7" s="297"/>
      <c r="U7" s="298"/>
      <c r="V7" s="298"/>
      <c r="W7" s="298"/>
      <c r="X7" s="298"/>
      <c r="Y7" s="298"/>
      <c r="Z7" s="299"/>
    </row>
    <row r="8" spans="1:26" ht="46.8">
      <c r="A8" s="316"/>
      <c r="B8" s="155">
        <f>Data!A25</f>
        <v>1.3</v>
      </c>
      <c r="C8" s="156" t="str">
        <f>Data!B25</f>
        <v>Scope of Work</v>
      </c>
      <c r="D8" s="113" t="str">
        <f>Data!C25</f>
        <v xml:space="preserve">Describes the approach to solve this problem, the projected timeline plan, and the assumptions, limitations, and constraints of the project.  Describes the services and/or materials to be obtained from the client.  </v>
      </c>
      <c r="E8" s="130" t="s">
        <v>22</v>
      </c>
      <c r="F8" s="157"/>
      <c r="G8" s="157"/>
      <c r="H8" s="157"/>
      <c r="I8" s="157"/>
      <c r="J8" s="157"/>
      <c r="K8" s="157"/>
      <c r="L8" s="157"/>
      <c r="M8" s="157"/>
      <c r="N8" s="157"/>
      <c r="O8" s="157"/>
      <c r="P8" s="157"/>
      <c r="Q8" s="158"/>
      <c r="R8" s="32">
        <f t="shared" si="0"/>
        <v>12</v>
      </c>
      <c r="S8" s="335"/>
      <c r="T8" s="297"/>
      <c r="U8" s="298"/>
      <c r="V8" s="298"/>
      <c r="W8" s="298"/>
      <c r="X8" s="298"/>
      <c r="Y8" s="298"/>
      <c r="Z8" s="299"/>
    </row>
    <row r="9" spans="1:26" ht="87" customHeight="1" thickBot="1">
      <c r="A9" s="314"/>
      <c r="B9" s="145">
        <f>Data!A26</f>
        <v>1.4</v>
      </c>
      <c r="C9" s="146" t="str">
        <f>Data!B26</f>
        <v>Deliverables</v>
      </c>
      <c r="D9" s="114" t="str">
        <f>Data!C26</f>
        <v xml:space="preserve">Defines the final product to be delivered at the end of the project. Defines milestones that progress toward the completion of the final product. Deliverables include a completed prototype, all spare parts, design and technical documentation, and test results. The information is specific to the project, and not described as general project deliverables. </v>
      </c>
      <c r="E9" s="148" t="s">
        <v>22</v>
      </c>
      <c r="F9" s="159"/>
      <c r="G9" s="159"/>
      <c r="H9" s="159"/>
      <c r="I9" s="159"/>
      <c r="J9" s="159"/>
      <c r="K9" s="159"/>
      <c r="L9" s="159"/>
      <c r="M9" s="159"/>
      <c r="N9" s="159"/>
      <c r="O9" s="159"/>
      <c r="P9" s="159"/>
      <c r="Q9" s="150"/>
      <c r="R9" s="29">
        <f t="shared" si="0"/>
        <v>12</v>
      </c>
      <c r="S9" s="336"/>
      <c r="T9" s="294"/>
      <c r="U9" s="295"/>
      <c r="V9" s="295"/>
      <c r="W9" s="295"/>
      <c r="X9" s="295"/>
      <c r="Y9" s="295"/>
      <c r="Z9" s="296"/>
    </row>
    <row r="10" spans="1:26" ht="94.2" thickTop="1">
      <c r="A10" s="315" t="s">
        <v>24</v>
      </c>
      <c r="B10" s="151">
        <f>Data!A28</f>
        <v>2.1</v>
      </c>
      <c r="C10" s="152" t="str">
        <f>Data!B28</f>
        <v>Review of the Problem Area</v>
      </c>
      <c r="D10" s="104" t="str">
        <f>Data!C28</f>
        <v xml:space="preserve">Summarizes and synthesizes existing research to support the claims of the problem.  Information gathered is technically sound and adequate, e.g., summarizes benchmarked prototypes, patents, research publications, etc. Properly cited work using IEEE style. Includes visual aids (e.g., figures, tables) and technical details to introduce the various claims and approaches published in literature. </v>
      </c>
      <c r="E10" s="131" t="s">
        <v>22</v>
      </c>
      <c r="F10" s="153"/>
      <c r="G10" s="153"/>
      <c r="H10" s="153"/>
      <c r="I10" s="153"/>
      <c r="J10" s="153"/>
      <c r="K10" s="153"/>
      <c r="L10" s="153"/>
      <c r="M10" s="153"/>
      <c r="N10" s="153"/>
      <c r="O10" s="153"/>
      <c r="P10" s="153"/>
      <c r="Q10" s="154"/>
      <c r="R10" s="28">
        <f t="shared" si="0"/>
        <v>12</v>
      </c>
      <c r="S10" s="329">
        <f>AVERAGE(R10:R11)</f>
        <v>12</v>
      </c>
      <c r="T10" s="291"/>
      <c r="U10" s="292"/>
      <c r="V10" s="292"/>
      <c r="W10" s="292"/>
      <c r="X10" s="292"/>
      <c r="Y10" s="292"/>
      <c r="Z10" s="293"/>
    </row>
    <row r="11" spans="1:26" ht="47.4" thickBot="1">
      <c r="A11" s="314"/>
      <c r="B11" s="145">
        <f>Data!A29</f>
        <v>2.2000000000000002</v>
      </c>
      <c r="C11" s="146" t="str">
        <f>Data!B29</f>
        <v>Review of State-of-the-Art</v>
      </c>
      <c r="D11" s="115" t="str">
        <f>Data!C29</f>
        <v>Introduces relevant products and technologies that exist in research or the market. Introduces appropriate metrics to describe the State-of-Art performance.</v>
      </c>
      <c r="E11" s="148" t="s">
        <v>22</v>
      </c>
      <c r="F11" s="159"/>
      <c r="G11" s="159"/>
      <c r="H11" s="159"/>
      <c r="I11" s="159"/>
      <c r="J11" s="159"/>
      <c r="K11" s="159"/>
      <c r="L11" s="159"/>
      <c r="M11" s="159"/>
      <c r="N11" s="159"/>
      <c r="O11" s="159"/>
      <c r="P11" s="159"/>
      <c r="Q11" s="150"/>
      <c r="R11" s="29">
        <f t="shared" si="0"/>
        <v>12</v>
      </c>
      <c r="S11" s="330"/>
      <c r="T11" s="294"/>
      <c r="U11" s="295"/>
      <c r="V11" s="295"/>
      <c r="W11" s="295"/>
      <c r="X11" s="295"/>
      <c r="Y11" s="295"/>
      <c r="Z11" s="296"/>
    </row>
    <row r="12" spans="1:26" ht="50.1" customHeight="1" thickTop="1">
      <c r="A12" s="315" t="s">
        <v>25</v>
      </c>
      <c r="B12" s="151">
        <f>Data!A31</f>
        <v>3.1</v>
      </c>
      <c r="C12" s="152" t="str">
        <f>Data!B31</f>
        <v xml:space="preserve">Requirements Matrix </v>
      </c>
      <c r="D12" s="112" t="str">
        <f>Data!C31</f>
        <v>Translates the client's needs into engineering statements using relevant metrics of performance (one, unambiguous and measurable value). Describes the relationships between these statements. Has received Client approval.</v>
      </c>
      <c r="E12" s="131" t="s">
        <v>22</v>
      </c>
      <c r="F12" s="153"/>
      <c r="G12" s="153"/>
      <c r="H12" s="153"/>
      <c r="I12" s="153"/>
      <c r="J12" s="153"/>
      <c r="K12" s="153"/>
      <c r="L12" s="153"/>
      <c r="M12" s="153"/>
      <c r="N12" s="153"/>
      <c r="O12" s="153"/>
      <c r="P12" s="153"/>
      <c r="Q12" s="154"/>
      <c r="R12" s="28">
        <f t="shared" si="0"/>
        <v>12</v>
      </c>
      <c r="S12" s="329">
        <f>AVERAGE(R12:R13)</f>
        <v>12</v>
      </c>
      <c r="T12" s="291"/>
      <c r="U12" s="292"/>
      <c r="V12" s="292"/>
      <c r="W12" s="292"/>
      <c r="X12" s="292"/>
      <c r="Y12" s="292"/>
      <c r="Z12" s="293"/>
    </row>
    <row r="13" spans="1:26" ht="78.599999999999994" thickBot="1">
      <c r="A13" s="332"/>
      <c r="B13" s="160">
        <f>Data!A32</f>
        <v>3.2</v>
      </c>
      <c r="C13" s="161" t="str">
        <f>Data!B32</f>
        <v>Exploratory Concepts</v>
      </c>
      <c r="D13" s="116" t="str">
        <f>Data!C32</f>
        <v>Presents (at least) three exploratory designs that can potentially meet the design requirements. Provides evidence to substantiate the validity of the designs. Points out the strengths and weaknesses of each design. Includes sketches and/or models to demonstrate the completeness of the exploratory designs.</v>
      </c>
      <c r="E13" s="162" t="s">
        <v>22</v>
      </c>
      <c r="F13" s="163"/>
      <c r="G13" s="163"/>
      <c r="H13" s="163"/>
      <c r="I13" s="163"/>
      <c r="J13" s="163"/>
      <c r="K13" s="163"/>
      <c r="L13" s="163"/>
      <c r="M13" s="163"/>
      <c r="N13" s="163"/>
      <c r="O13" s="163"/>
      <c r="P13" s="163"/>
      <c r="Q13" s="164"/>
      <c r="R13" s="35">
        <f t="shared" si="0"/>
        <v>12</v>
      </c>
      <c r="S13" s="337"/>
      <c r="T13" s="304"/>
      <c r="U13" s="305"/>
      <c r="V13" s="305"/>
      <c r="W13" s="305"/>
      <c r="X13" s="305"/>
      <c r="Y13" s="305"/>
      <c r="Z13" s="306"/>
    </row>
    <row r="14" spans="1:26" ht="31.8" thickTop="1">
      <c r="A14" s="315" t="s">
        <v>26</v>
      </c>
      <c r="B14" s="151">
        <f>Data!A35</f>
        <v>4.0999999999999996</v>
      </c>
      <c r="C14" s="152" t="str">
        <f>Data!B35</f>
        <v>Member Bios, Team Member Roles</v>
      </c>
      <c r="D14" s="165" t="str">
        <f>Data!C35</f>
        <v>Table includes students' image, name, degree(s), and assigned role(s).</v>
      </c>
      <c r="E14" s="131" t="s">
        <v>22</v>
      </c>
      <c r="F14" s="153"/>
      <c r="G14" s="153"/>
      <c r="H14" s="153"/>
      <c r="I14" s="153"/>
      <c r="J14" s="153"/>
      <c r="K14" s="153"/>
      <c r="L14" s="153"/>
      <c r="M14" s="153"/>
      <c r="N14" s="153"/>
      <c r="O14" s="153"/>
      <c r="P14" s="153"/>
      <c r="Q14" s="154"/>
      <c r="R14" s="28">
        <f t="shared" si="0"/>
        <v>12</v>
      </c>
      <c r="S14" s="329">
        <f>AVERAGE(R14:R15)</f>
        <v>12</v>
      </c>
      <c r="T14" s="291"/>
      <c r="U14" s="292"/>
      <c r="V14" s="292"/>
      <c r="W14" s="292"/>
      <c r="X14" s="292"/>
      <c r="Y14" s="292"/>
      <c r="Z14" s="293"/>
    </row>
    <row r="15" spans="1:26" ht="31.8" thickBot="1">
      <c r="A15" s="314"/>
      <c r="B15" s="145">
        <f>Data!A36</f>
        <v>4.2</v>
      </c>
      <c r="C15" s="146" t="str">
        <f>Data!B36</f>
        <v>Team Charter</v>
      </c>
      <c r="D15" s="147" t="str">
        <f>Data!C36</f>
        <v>Expectations listed for each team member, faculty mentor and customer mentor.</v>
      </c>
      <c r="E15" s="148" t="s">
        <v>22</v>
      </c>
      <c r="F15" s="159"/>
      <c r="G15" s="159"/>
      <c r="H15" s="159"/>
      <c r="I15" s="159"/>
      <c r="J15" s="159"/>
      <c r="K15" s="159"/>
      <c r="L15" s="159"/>
      <c r="M15" s="159"/>
      <c r="N15" s="159"/>
      <c r="O15" s="159"/>
      <c r="P15" s="159"/>
      <c r="Q15" s="150"/>
      <c r="R15" s="29">
        <f t="shared" si="0"/>
        <v>12</v>
      </c>
      <c r="S15" s="330"/>
      <c r="T15" s="294"/>
      <c r="U15" s="295"/>
      <c r="V15" s="295"/>
      <c r="W15" s="295"/>
      <c r="X15" s="295"/>
      <c r="Y15" s="295"/>
      <c r="Z15" s="296"/>
    </row>
    <row r="16" spans="1:26" ht="95.25" customHeight="1" thickTop="1">
      <c r="A16" s="315" t="s">
        <v>27</v>
      </c>
      <c r="B16" s="151">
        <f>Data!A65</f>
        <v>10.1</v>
      </c>
      <c r="C16" s="152" t="str">
        <f>Data!B65</f>
        <v>Project Schedule</v>
      </c>
      <c r="D16" s="165" t="str">
        <f>Data!C65</f>
        <v>Task descriptions contain an acceptable level of detail. Task predecessor links properly used with no open-ended tasks.  Task progress bar properly used to indicate % completion status of active tasks. All tasks set to Auto-Schedule mode. All Resource Names added. Milestones identified and properly linked. All task flow in a chronological order.</v>
      </c>
      <c r="E16" s="131" t="s">
        <v>22</v>
      </c>
      <c r="F16" s="153"/>
      <c r="G16" s="153"/>
      <c r="H16" s="153"/>
      <c r="I16" s="153"/>
      <c r="J16" s="153"/>
      <c r="K16" s="153"/>
      <c r="L16" s="153"/>
      <c r="M16" s="153"/>
      <c r="N16" s="153"/>
      <c r="O16" s="153"/>
      <c r="P16" s="153"/>
      <c r="Q16" s="154"/>
      <c r="R16" s="28">
        <f t="shared" si="0"/>
        <v>12</v>
      </c>
      <c r="S16" s="329">
        <f>AVERAGE(R16:R18)</f>
        <v>12</v>
      </c>
      <c r="T16" s="291"/>
      <c r="U16" s="292"/>
      <c r="V16" s="292"/>
      <c r="W16" s="292"/>
      <c r="X16" s="292"/>
      <c r="Y16" s="292"/>
      <c r="Z16" s="293"/>
    </row>
    <row r="17" spans="1:26" ht="126.75" customHeight="1">
      <c r="A17" s="316"/>
      <c r="B17" s="155">
        <f>Data!A66</f>
        <v>10.199999999999999</v>
      </c>
      <c r="C17" s="156" t="str">
        <f>Data!B66</f>
        <v>Gantt Charts &amp; Critical Path</v>
      </c>
      <c r="D17" s="166" t="str">
        <f>Data!C66&amp;"1"</f>
        <v>Gantt Chart(s): Properly formatted to clearly define project status details and all information in the Gantt Charts is aligned with the Gate requirements. Task level information clearly indicates an appropriate level of detail. Chart types are properly created as defined in the Project Schedule Guidelines. Critical Path: MS Project able to calculate critical path based on existing tasks and predecessor structure. Clearly defined and shown using the Level 3 chart format. Gantt Charts content should be To gate 1</v>
      </c>
      <c r="E17" s="130" t="s">
        <v>22</v>
      </c>
      <c r="F17" s="157"/>
      <c r="G17" s="157"/>
      <c r="H17" s="157"/>
      <c r="I17" s="157"/>
      <c r="J17" s="157"/>
      <c r="K17" s="157"/>
      <c r="L17" s="157"/>
      <c r="M17" s="157"/>
      <c r="N17" s="157"/>
      <c r="O17" s="157"/>
      <c r="P17" s="157"/>
      <c r="Q17" s="158"/>
      <c r="R17" s="32">
        <f t="shared" si="0"/>
        <v>12</v>
      </c>
      <c r="S17" s="331"/>
      <c r="T17" s="297"/>
      <c r="U17" s="298"/>
      <c r="V17" s="298"/>
      <c r="W17" s="298"/>
      <c r="X17" s="298"/>
      <c r="Y17" s="298"/>
      <c r="Z17" s="299"/>
    </row>
    <row r="18" spans="1:26" ht="31.8" thickBot="1">
      <c r="A18" s="314"/>
      <c r="B18" s="145">
        <f>Data!A67</f>
        <v>10.3</v>
      </c>
      <c r="C18" s="146" t="str">
        <f>Data!B67</f>
        <v>MS Teams File Documentation</v>
      </c>
      <c r="D18" s="147" t="str">
        <f>Data!C67</f>
        <v>Certification table filled in and signed by the responsible team member.</v>
      </c>
      <c r="E18" s="148" t="s">
        <v>22</v>
      </c>
      <c r="F18" s="159"/>
      <c r="G18" s="159"/>
      <c r="H18" s="159"/>
      <c r="I18" s="159"/>
      <c r="J18" s="159"/>
      <c r="K18" s="159"/>
      <c r="L18" s="159"/>
      <c r="M18" s="159"/>
      <c r="N18" s="159"/>
      <c r="O18" s="159"/>
      <c r="P18" s="159"/>
      <c r="Q18" s="150"/>
      <c r="R18" s="29">
        <f t="shared" si="0"/>
        <v>12</v>
      </c>
      <c r="S18" s="330"/>
      <c r="T18" s="294"/>
      <c r="U18" s="295"/>
      <c r="V18" s="295"/>
      <c r="W18" s="295"/>
      <c r="X18" s="295"/>
      <c r="Y18" s="295"/>
      <c r="Z18" s="296"/>
    </row>
    <row r="19" spans="1:26" ht="31.8" thickTop="1">
      <c r="A19" s="315" t="s">
        <v>28</v>
      </c>
      <c r="B19" s="151"/>
      <c r="C19" s="152" t="str">
        <f>Data!B7</f>
        <v>Formatting and References</v>
      </c>
      <c r="D19" s="165" t="str">
        <f>Data!C7</f>
        <v>Uses IEEE format to develop the Title Page, Table of Contents, Appendix, and Work Cited sections of this report.</v>
      </c>
      <c r="E19" s="131" t="s">
        <v>22</v>
      </c>
      <c r="F19" s="153"/>
      <c r="G19" s="153"/>
      <c r="H19" s="153"/>
      <c r="I19" s="153"/>
      <c r="J19" s="153"/>
      <c r="K19" s="153"/>
      <c r="L19" s="153"/>
      <c r="M19" s="153"/>
      <c r="N19" s="153"/>
      <c r="O19" s="153"/>
      <c r="P19" s="153"/>
      <c r="Q19" s="154"/>
      <c r="R19" s="28">
        <f t="shared" si="0"/>
        <v>12</v>
      </c>
      <c r="S19" s="329">
        <f>AVERAGE(R19:R21)</f>
        <v>12</v>
      </c>
      <c r="T19" s="291"/>
      <c r="U19" s="292"/>
      <c r="V19" s="292"/>
      <c r="W19" s="292"/>
      <c r="X19" s="292"/>
      <c r="Y19" s="292"/>
      <c r="Z19" s="293"/>
    </row>
    <row r="20" spans="1:26" ht="46.8">
      <c r="A20" s="316"/>
      <c r="B20" s="155"/>
      <c r="C20" s="156" t="str">
        <f>Data!B8</f>
        <v>Text</v>
      </c>
      <c r="D20" s="166" t="str">
        <f>Data!C8</f>
        <v>Free of spelling and grammatical errors, text flows with contiguous threads, consistent format, use of 3rd person perspective, non-repeating ideas or information.</v>
      </c>
      <c r="E20" s="130" t="s">
        <v>22</v>
      </c>
      <c r="F20" s="157"/>
      <c r="G20" s="157"/>
      <c r="H20" s="157"/>
      <c r="I20" s="157"/>
      <c r="J20" s="157"/>
      <c r="K20" s="157"/>
      <c r="L20" s="157"/>
      <c r="M20" s="157"/>
      <c r="N20" s="157"/>
      <c r="O20" s="157"/>
      <c r="P20" s="157"/>
      <c r="Q20" s="158"/>
      <c r="R20" s="32">
        <f t="shared" si="0"/>
        <v>12</v>
      </c>
      <c r="S20" s="331"/>
      <c r="T20" s="297"/>
      <c r="U20" s="298"/>
      <c r="V20" s="298"/>
      <c r="W20" s="298"/>
      <c r="X20" s="298"/>
      <c r="Y20" s="298"/>
      <c r="Z20" s="299"/>
    </row>
    <row r="21" spans="1:26" ht="63" thickBot="1">
      <c r="A21" s="314"/>
      <c r="B21" s="145"/>
      <c r="C21" s="146" t="str">
        <f>Data!B9</f>
        <v>Visual Aids</v>
      </c>
      <c r="D21" s="147" t="str">
        <f>Data!C9</f>
        <v>Visual aids (all figures including hand sketches, photos, charts, etc. and tables) are clear and readable and of professional quality.  Graphic aspects labeled and linked to text to transmit critical information, units/scaling clear. Proper IEEE style utilized.</v>
      </c>
      <c r="E21" s="148" t="s">
        <v>29</v>
      </c>
      <c r="F21" s="159"/>
      <c r="G21" s="159"/>
      <c r="H21" s="159"/>
      <c r="I21" s="159"/>
      <c r="J21" s="159"/>
      <c r="K21" s="159"/>
      <c r="L21" s="159"/>
      <c r="M21" s="159"/>
      <c r="N21" s="159"/>
      <c r="O21" s="159"/>
      <c r="P21" s="159"/>
      <c r="Q21" s="150"/>
      <c r="R21" s="29">
        <f t="shared" si="0"/>
        <v>12</v>
      </c>
      <c r="S21" s="330"/>
      <c r="T21" s="294"/>
      <c r="U21" s="295"/>
      <c r="V21" s="295"/>
      <c r="W21" s="295"/>
      <c r="X21" s="295"/>
      <c r="Y21" s="295"/>
      <c r="Z21" s="296"/>
    </row>
    <row r="22" spans="1:26" ht="63" thickTop="1">
      <c r="A22" s="315"/>
      <c r="B22" s="151" t="str">
        <f>Data!A75</f>
        <v>A1</v>
      </c>
      <c r="C22" s="152" t="str">
        <f>Data!B75</f>
        <v>Communication Plan</v>
      </c>
      <c r="D22" s="165" t="str">
        <f>Data!C75</f>
        <v>Communication Plan template fully filled in. Communication channels appear appropriate for the current team progress and level of communication occurring.  Clearly defined descriptions of all portions of the plan.</v>
      </c>
      <c r="E22" s="131" t="s">
        <v>29</v>
      </c>
      <c r="F22" s="153"/>
      <c r="G22" s="153"/>
      <c r="H22" s="153"/>
      <c r="I22" s="153"/>
      <c r="J22" s="153"/>
      <c r="K22" s="153"/>
      <c r="L22" s="153"/>
      <c r="M22" s="153"/>
      <c r="N22" s="153"/>
      <c r="O22" s="153"/>
      <c r="P22" s="153"/>
      <c r="Q22" s="154"/>
      <c r="R22" s="28">
        <f t="shared" si="0"/>
        <v>12</v>
      </c>
      <c r="S22" s="329">
        <f>AVERAGE(R22:R23)</f>
        <v>12</v>
      </c>
      <c r="T22" s="291"/>
      <c r="U22" s="292"/>
      <c r="V22" s="292"/>
      <c r="W22" s="292"/>
      <c r="X22" s="292"/>
      <c r="Y22" s="292"/>
      <c r="Z22" s="293"/>
    </row>
    <row r="23" spans="1:26" ht="30.75" customHeight="1" thickBot="1">
      <c r="A23" s="314"/>
      <c r="B23" s="145" t="str">
        <f>Data!A76</f>
        <v>A2</v>
      </c>
      <c r="C23" s="146" t="str">
        <f>Data!B76</f>
        <v>Team Member Bios</v>
      </c>
      <c r="D23" s="147" t="str">
        <f>Data!C76</f>
        <v>Describes each member's motivation to participate and succeed in this project.</v>
      </c>
      <c r="E23" s="148" t="s">
        <v>22</v>
      </c>
      <c r="F23" s="159"/>
      <c r="G23" s="159"/>
      <c r="H23" s="159"/>
      <c r="I23" s="159"/>
      <c r="J23" s="159"/>
      <c r="K23" s="159"/>
      <c r="L23" s="159"/>
      <c r="M23" s="159"/>
      <c r="N23" s="159"/>
      <c r="O23" s="159"/>
      <c r="P23" s="159"/>
      <c r="Q23" s="150"/>
      <c r="R23" s="29">
        <f t="shared" si="0"/>
        <v>12</v>
      </c>
      <c r="S23" s="330"/>
      <c r="T23" s="294"/>
      <c r="U23" s="295"/>
      <c r="V23" s="295"/>
      <c r="W23" s="295"/>
      <c r="X23" s="295"/>
      <c r="Y23" s="295"/>
      <c r="Z23" s="296"/>
    </row>
    <row r="24" spans="1:26" ht="16.2" thickTop="1">
      <c r="A24" s="317" t="s">
        <v>20</v>
      </c>
      <c r="B24" s="320"/>
      <c r="C24" s="321"/>
      <c r="D24" s="321"/>
      <c r="E24" s="321"/>
      <c r="F24" s="321"/>
      <c r="G24" s="321"/>
      <c r="H24" s="321"/>
      <c r="I24" s="321"/>
      <c r="J24" s="321"/>
      <c r="K24" s="321"/>
      <c r="L24" s="321"/>
      <c r="M24" s="321"/>
      <c r="N24" s="321"/>
      <c r="O24" s="321"/>
      <c r="P24" s="321"/>
      <c r="Q24" s="322"/>
      <c r="R24" s="36" t="s">
        <v>30</v>
      </c>
      <c r="S24" s="37">
        <f>SUM(S4:S23)</f>
        <v>96</v>
      </c>
    </row>
    <row r="25" spans="1:26">
      <c r="A25" s="318"/>
      <c r="B25" s="323"/>
      <c r="C25" s="324"/>
      <c r="D25" s="324"/>
      <c r="E25" s="324"/>
      <c r="F25" s="324"/>
      <c r="G25" s="324"/>
      <c r="H25" s="324"/>
      <c r="I25" s="324"/>
      <c r="J25" s="324"/>
      <c r="K25" s="324"/>
      <c r="L25" s="324"/>
      <c r="M25" s="324"/>
      <c r="N25" s="324"/>
      <c r="O25" s="324"/>
      <c r="P25" s="324"/>
      <c r="Q25" s="325"/>
      <c r="R25" s="38" t="s">
        <v>31</v>
      </c>
      <c r="S25" s="39">
        <v>96</v>
      </c>
    </row>
    <row r="26" spans="1:26" ht="16.2" thickBot="1">
      <c r="A26" s="319"/>
      <c r="B26" s="326"/>
      <c r="C26" s="327"/>
      <c r="D26" s="327"/>
      <c r="E26" s="327"/>
      <c r="F26" s="327"/>
      <c r="G26" s="327"/>
      <c r="H26" s="327"/>
      <c r="I26" s="327"/>
      <c r="J26" s="327"/>
      <c r="K26" s="327"/>
      <c r="L26" s="327"/>
      <c r="M26" s="327"/>
      <c r="N26" s="327"/>
      <c r="O26" s="327"/>
      <c r="P26" s="327"/>
      <c r="Q26" s="328"/>
      <c r="R26" s="40" t="s">
        <v>32</v>
      </c>
      <c r="S26" s="41">
        <f>S24/S25</f>
        <v>1</v>
      </c>
    </row>
    <row r="27" spans="1:26" ht="16.2" thickTop="1">
      <c r="B27" s="135"/>
    </row>
    <row r="28" spans="1:26">
      <c r="B28" s="135"/>
    </row>
    <row r="29" spans="1:26">
      <c r="B29" s="135"/>
    </row>
    <row r="30" spans="1:26">
      <c r="B30" s="135"/>
    </row>
    <row r="31" spans="1:26">
      <c r="B31" s="135"/>
    </row>
    <row r="32" spans="1:26">
      <c r="B32" s="135"/>
    </row>
    <row r="33" spans="2:2">
      <c r="B33" s="135"/>
    </row>
  </sheetData>
  <mergeCells count="40">
    <mergeCell ref="A10:A11"/>
    <mergeCell ref="A14:A15"/>
    <mergeCell ref="A12:A13"/>
    <mergeCell ref="S6:S9"/>
    <mergeCell ref="S4:S5"/>
    <mergeCell ref="S10:S11"/>
    <mergeCell ref="S12:S13"/>
    <mergeCell ref="S14:S15"/>
    <mergeCell ref="T21:Z21"/>
    <mergeCell ref="T22:Z22"/>
    <mergeCell ref="T23:Z23"/>
    <mergeCell ref="T16:Z16"/>
    <mergeCell ref="T17:Z17"/>
    <mergeCell ref="T18:Z18"/>
    <mergeCell ref="T19:Z19"/>
    <mergeCell ref="T20:Z20"/>
    <mergeCell ref="A24:A26"/>
    <mergeCell ref="B24:Q26"/>
    <mergeCell ref="S22:S23"/>
    <mergeCell ref="A22:A23"/>
    <mergeCell ref="A16:A18"/>
    <mergeCell ref="S19:S21"/>
    <mergeCell ref="A19:A21"/>
    <mergeCell ref="S16:S18"/>
    <mergeCell ref="T14:Z14"/>
    <mergeCell ref="T15:Z15"/>
    <mergeCell ref="T8:Z8"/>
    <mergeCell ref="A2:Z2"/>
    <mergeCell ref="T9:Z9"/>
    <mergeCell ref="T10:Z10"/>
    <mergeCell ref="T11:Z11"/>
    <mergeCell ref="T12:Z12"/>
    <mergeCell ref="T13:Z13"/>
    <mergeCell ref="T3:Z3"/>
    <mergeCell ref="T4:Z4"/>
    <mergeCell ref="T5:Z5"/>
    <mergeCell ref="T6:Z6"/>
    <mergeCell ref="T7:Z7"/>
    <mergeCell ref="A4:A5"/>
    <mergeCell ref="A6:A9"/>
  </mergeCells>
  <phoneticPr fontId="8" type="noConversion"/>
  <printOptions horizontalCentered="1"/>
  <pageMargins left="0.25" right="0.25" top="0.75" bottom="0.75" header="0.3" footer="0.3"/>
  <pageSetup scale="51" fitToHeight="2"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69228-BE7B-5C4D-84AD-7A96F5A7A153}">
  <sheetPr>
    <tabColor theme="9"/>
    <pageSetUpPr fitToPage="1"/>
  </sheetPr>
  <dimension ref="A1:T46"/>
  <sheetViews>
    <sheetView zoomScaleNormal="100" workbookViewId="0">
      <pane xSplit="1" ySplit="3" topLeftCell="B18" activePane="bottomRight" state="frozen"/>
      <selection pane="topRight" activeCell="C1" sqref="C1"/>
      <selection pane="bottomLeft" activeCell="A4" sqref="A4"/>
      <selection pane="bottomRight" activeCell="A20" sqref="A20:A21"/>
    </sheetView>
  </sheetViews>
  <sheetFormatPr defaultColWidth="8.6640625" defaultRowHeight="15.6"/>
  <cols>
    <col min="1" max="1" width="13.33203125" bestFit="1" customWidth="1"/>
    <col min="2" max="2" width="6.6640625" style="5" customWidth="1"/>
    <col min="3" max="3" width="26.6640625" style="8" bestFit="1" customWidth="1"/>
    <col min="4" max="4" width="71.6640625" style="4" customWidth="1"/>
    <col min="5" max="5" width="12.33203125" style="2" bestFit="1" customWidth="1"/>
    <col min="6" max="7" width="4.44140625" customWidth="1"/>
    <col min="8" max="16" width="3.33203125" bestFit="1" customWidth="1"/>
    <col min="17" max="17" width="8.6640625" bestFit="1" customWidth="1"/>
    <col min="18" max="18" width="14" style="3" bestFit="1" customWidth="1"/>
    <col min="19" max="19" width="5.6640625" style="3" bestFit="1" customWidth="1"/>
    <col min="20" max="20" width="63.44140625" customWidth="1"/>
  </cols>
  <sheetData>
    <row r="1" spans="1:20" ht="16.2" thickBot="1">
      <c r="B1"/>
      <c r="C1" s="135"/>
      <c r="D1" s="25"/>
      <c r="E1"/>
      <c r="R1"/>
      <c r="S1"/>
    </row>
    <row r="2" spans="1:20" ht="34.5" customHeight="1" thickTop="1" thickBot="1">
      <c r="A2" s="338" t="s">
        <v>33</v>
      </c>
      <c r="B2" s="339"/>
      <c r="C2" s="339"/>
      <c r="D2" s="339"/>
      <c r="E2" s="339"/>
      <c r="F2" s="339"/>
      <c r="G2" s="339"/>
      <c r="H2" s="339"/>
      <c r="I2" s="339"/>
      <c r="J2" s="339"/>
      <c r="K2" s="339"/>
      <c r="L2" s="339"/>
      <c r="M2" s="339"/>
      <c r="N2" s="339"/>
      <c r="O2" s="339"/>
      <c r="P2" s="339"/>
      <c r="Q2" s="339"/>
      <c r="R2" s="339"/>
      <c r="S2" s="340"/>
    </row>
    <row r="3" spans="1:20" ht="63.6" thickTop="1" thickBot="1">
      <c r="A3" s="167" t="s">
        <v>34</v>
      </c>
      <c r="B3" s="43" t="s">
        <v>35</v>
      </c>
      <c r="C3" s="43" t="s">
        <v>3</v>
      </c>
      <c r="D3" s="43" t="s">
        <v>36</v>
      </c>
      <c r="E3" s="45" t="s">
        <v>5</v>
      </c>
      <c r="F3" s="46" t="s">
        <v>6</v>
      </c>
      <c r="G3" s="46" t="s">
        <v>7</v>
      </c>
      <c r="H3" s="46" t="s">
        <v>8</v>
      </c>
      <c r="I3" s="46" t="s">
        <v>9</v>
      </c>
      <c r="J3" s="46" t="s">
        <v>10</v>
      </c>
      <c r="K3" s="46" t="s">
        <v>11</v>
      </c>
      <c r="L3" s="46" t="s">
        <v>12</v>
      </c>
      <c r="M3" s="46" t="s">
        <v>13</v>
      </c>
      <c r="N3" s="46" t="s">
        <v>14</v>
      </c>
      <c r="O3" s="46" t="s">
        <v>15</v>
      </c>
      <c r="P3" s="46" t="s">
        <v>16</v>
      </c>
      <c r="Q3" s="47" t="s">
        <v>17</v>
      </c>
      <c r="R3" s="45" t="s">
        <v>18</v>
      </c>
      <c r="S3" s="47" t="s">
        <v>19</v>
      </c>
      <c r="T3" s="26"/>
    </row>
    <row r="4" spans="1:20" ht="48.75" customHeight="1" thickTop="1">
      <c r="A4" s="315" t="s">
        <v>37</v>
      </c>
      <c r="B4" s="48"/>
      <c r="C4" s="30" t="str">
        <f>Data!B10</f>
        <v>Introduction</v>
      </c>
      <c r="D4" s="112" t="str">
        <f>Data!C10</f>
        <v xml:space="preserve">Presentation Title (closely matches project name), Outline (follows Rubric), Team Members (photo, name, academic major, team role) Concise overview of project. </v>
      </c>
      <c r="E4" s="28" t="s">
        <v>22</v>
      </c>
      <c r="F4" s="50"/>
      <c r="G4" s="50"/>
      <c r="H4" s="50"/>
      <c r="I4" s="50"/>
      <c r="J4" s="50"/>
      <c r="K4" s="50"/>
      <c r="L4" s="50"/>
      <c r="M4" s="50"/>
      <c r="N4" s="50"/>
      <c r="O4" s="50"/>
      <c r="P4" s="50"/>
      <c r="Q4" s="51"/>
      <c r="R4" s="28">
        <f>IF(E4="x",12,IF(F4="x",11,IF(G4="x",10,IF(H4="x",9,IF(I4="x",8,IF(J4="x",7,IF(K4="x",6,IF(L4="x",5,IF(M4="x",4,IF(N4="x",3,IF(O4="x",2,IF(P4="x",1,IF(Q4="x",0,"")))))))))))))</f>
        <v>12</v>
      </c>
      <c r="S4" s="354">
        <f>AVERAGE(R4:R7)</f>
        <v>12</v>
      </c>
    </row>
    <row r="5" spans="1:20" ht="67.5" customHeight="1">
      <c r="A5" s="316"/>
      <c r="B5" s="49"/>
      <c r="C5" s="31" t="str">
        <f>Data!B12</f>
        <v>Audio / Visual Quality of Presentation</v>
      </c>
      <c r="D5" s="113" t="str">
        <f>Data!C12</f>
        <v xml:space="preserve">Figures and tables in engineering format, free of spelling and grammatical errors, data presented is well-organized and defined in tabular or graphical form. Annotations are used to describe key points of photos and graphics. All slides are labeled with page numbers and consistent formatting between slides. Audio quality good no background noise or distractions. </v>
      </c>
      <c r="E5" s="32" t="s">
        <v>22</v>
      </c>
      <c r="F5" s="10"/>
      <c r="G5" s="10"/>
      <c r="H5" s="10"/>
      <c r="I5" s="10"/>
      <c r="J5" s="10"/>
      <c r="K5" s="10"/>
      <c r="L5" s="10"/>
      <c r="M5" s="10"/>
      <c r="N5" s="10"/>
      <c r="O5" s="10"/>
      <c r="P5" s="10"/>
      <c r="Q5" s="52"/>
      <c r="R5" s="32">
        <f t="shared" ref="R5:R28" si="0">IF(E5="x",12,IF(F5="x",11,IF(G5="x",10,IF(H5="x",9,IF(I5="x",8,IF(J5="x",7,IF(K5="x",6,IF(L5="x",5,IF(M5="x",4,IF(N5="x",3,IF(O5="x",2,IF(P5="x",1,IF(Q5="x",0,"")))))))))))))</f>
        <v>12</v>
      </c>
      <c r="S5" s="360"/>
    </row>
    <row r="6" spans="1:20" ht="31.2">
      <c r="A6" s="316"/>
      <c r="B6" s="49"/>
      <c r="C6" s="31" t="str">
        <f>Data!B13</f>
        <v>References</v>
      </c>
      <c r="D6" s="113" t="str">
        <f>Data!C13</f>
        <v>References (in-text and bibliography) properly cited in IEEE style. Proper use of the Zotero citation management tool</v>
      </c>
      <c r="E6" s="32" t="s">
        <v>22</v>
      </c>
      <c r="F6" s="10"/>
      <c r="G6" s="10"/>
      <c r="H6" s="10"/>
      <c r="I6" s="10"/>
      <c r="J6" s="10"/>
      <c r="K6" s="10"/>
      <c r="L6" s="10"/>
      <c r="M6" s="10"/>
      <c r="N6" s="10"/>
      <c r="O6" s="10"/>
      <c r="P6" s="10"/>
      <c r="Q6" s="52"/>
      <c r="R6" s="32">
        <f t="shared" si="0"/>
        <v>12</v>
      </c>
      <c r="S6" s="360"/>
    </row>
    <row r="7" spans="1:20" ht="31.5" customHeight="1" thickBot="1">
      <c r="A7" s="332"/>
      <c r="B7" s="59"/>
      <c r="C7" s="34" t="str">
        <f>Data!B11</f>
        <v>Oral Presentation Skill</v>
      </c>
      <c r="D7" s="116" t="str">
        <f>Data!C11</f>
        <v>Clear enunciation when discussing engineering design. All members are participating. Smooth transitions between topics and presenters.</v>
      </c>
      <c r="E7" s="35" t="s">
        <v>22</v>
      </c>
      <c r="F7" s="44"/>
      <c r="G7" s="44"/>
      <c r="H7" s="44"/>
      <c r="I7" s="44"/>
      <c r="J7" s="44"/>
      <c r="K7" s="44"/>
      <c r="L7" s="44"/>
      <c r="M7" s="44"/>
      <c r="N7" s="44"/>
      <c r="O7" s="44"/>
      <c r="P7" s="44"/>
      <c r="Q7" s="60"/>
      <c r="R7" s="35">
        <f t="shared" si="0"/>
        <v>12</v>
      </c>
      <c r="S7" s="361"/>
    </row>
    <row r="8" spans="1:20" ht="31.5" customHeight="1" thickTop="1" thickBot="1">
      <c r="A8" s="133" t="s">
        <v>20</v>
      </c>
      <c r="B8" s="345"/>
      <c r="C8" s="346"/>
      <c r="D8" s="346"/>
      <c r="E8" s="346"/>
      <c r="F8" s="346"/>
      <c r="G8" s="346"/>
      <c r="H8" s="346"/>
      <c r="I8" s="346"/>
      <c r="J8" s="346"/>
      <c r="K8" s="346"/>
      <c r="L8" s="346"/>
      <c r="M8" s="346"/>
      <c r="N8" s="346"/>
      <c r="O8" s="346"/>
      <c r="P8" s="346"/>
      <c r="Q8" s="346"/>
      <c r="R8" s="346"/>
      <c r="S8" s="347"/>
    </row>
    <row r="9" spans="1:20" ht="34.5" customHeight="1" thickTop="1">
      <c r="A9" s="313" t="s">
        <v>23</v>
      </c>
      <c r="B9" s="61">
        <f>Data!A23</f>
        <v>1.1000000000000001</v>
      </c>
      <c r="C9" s="62" t="str">
        <f>Data!B23</f>
        <v>Problem Description</v>
      </c>
      <c r="D9" s="117" t="str">
        <f>Data!C23</f>
        <v>Includes context to the problem, reason for the problem, need for this project, defines who is impacted by the problem (customer / market) and how.</v>
      </c>
      <c r="E9" s="42" t="s">
        <v>22</v>
      </c>
      <c r="F9" s="11"/>
      <c r="G9" s="11"/>
      <c r="H9" s="11"/>
      <c r="I9" s="11"/>
      <c r="J9" s="11"/>
      <c r="K9" s="11"/>
      <c r="L9" s="11"/>
      <c r="M9" s="11"/>
      <c r="N9" s="11"/>
      <c r="O9" s="11"/>
      <c r="P9" s="11"/>
      <c r="Q9" s="63"/>
      <c r="R9" s="42">
        <f t="shared" si="0"/>
        <v>12</v>
      </c>
      <c r="S9" s="359">
        <f>AVERAGE(R9:R12)</f>
        <v>12</v>
      </c>
    </row>
    <row r="10" spans="1:20" ht="46.8">
      <c r="A10" s="316"/>
      <c r="B10" s="55">
        <f>Data!A24</f>
        <v>1.2</v>
      </c>
      <c r="C10" s="57" t="str">
        <f>Data!B24</f>
        <v>Problem Statement</v>
      </c>
      <c r="D10" s="83" t="str">
        <f>Data!C24</f>
        <v>Describes the problem in technical detail and Quantifies the impact on the customer/market. Introduce critical performance metrics. Defines the end-user population (e.g., person, environment, or organization).</v>
      </c>
      <c r="E10" s="32" t="s">
        <v>22</v>
      </c>
      <c r="F10" s="10"/>
      <c r="G10" s="10"/>
      <c r="H10" s="10"/>
      <c r="I10" s="10"/>
      <c r="J10" s="10"/>
      <c r="K10" s="10"/>
      <c r="L10" s="10"/>
      <c r="M10" s="10"/>
      <c r="N10" s="10"/>
      <c r="O10" s="10"/>
      <c r="P10" s="10"/>
      <c r="Q10" s="52"/>
      <c r="R10" s="32">
        <f t="shared" si="0"/>
        <v>12</v>
      </c>
      <c r="S10" s="360"/>
    </row>
    <row r="11" spans="1:20" ht="46.8">
      <c r="A11" s="316"/>
      <c r="B11" s="55">
        <f>Data!A25</f>
        <v>1.3</v>
      </c>
      <c r="C11" s="57" t="str">
        <f>Data!B25</f>
        <v>Scope of Work</v>
      </c>
      <c r="D11" s="83" t="str">
        <f>Data!C25</f>
        <v xml:space="preserve">Describes the approach to solve this problem, the projected timeline plan, and the assumptions, limitations, and constraints of the project.  Describes the services and/or materials to be obtained from the client.  </v>
      </c>
      <c r="E11" s="32" t="s">
        <v>22</v>
      </c>
      <c r="F11" s="10"/>
      <c r="G11" s="10"/>
      <c r="H11" s="10"/>
      <c r="I11" s="10"/>
      <c r="J11" s="10"/>
      <c r="K11" s="10"/>
      <c r="L11" s="10"/>
      <c r="M11" s="10"/>
      <c r="N11" s="10"/>
      <c r="O11" s="10"/>
      <c r="P11" s="10"/>
      <c r="Q11" s="52"/>
      <c r="R11" s="32">
        <f t="shared" si="0"/>
        <v>12</v>
      </c>
      <c r="S11" s="360"/>
    </row>
    <row r="12" spans="1:20" ht="78.599999999999994" thickBot="1">
      <c r="A12" s="314"/>
      <c r="B12" s="56">
        <f>Data!A26</f>
        <v>1.4</v>
      </c>
      <c r="C12" s="58" t="str">
        <f>Data!B26</f>
        <v>Deliverables</v>
      </c>
      <c r="D12" s="75" t="str">
        <f>Data!C26</f>
        <v xml:space="preserve">Defines the final product to be delivered at the end of the project. Defines milestones that progress toward the completion of the final product. Deliverables include a completed prototype, all spare parts, design and technical documentation, and test results. The information is specific to the project, and not described as general project deliverables. </v>
      </c>
      <c r="E12" s="29" t="s">
        <v>22</v>
      </c>
      <c r="F12" s="53"/>
      <c r="G12" s="53"/>
      <c r="H12" s="53"/>
      <c r="I12" s="53"/>
      <c r="J12" s="53"/>
      <c r="K12" s="53"/>
      <c r="L12" s="53"/>
      <c r="M12" s="53"/>
      <c r="N12" s="53"/>
      <c r="O12" s="53"/>
      <c r="P12" s="53"/>
      <c r="Q12" s="54"/>
      <c r="R12" s="29">
        <f t="shared" si="0"/>
        <v>12</v>
      </c>
      <c r="S12" s="355"/>
    </row>
    <row r="13" spans="1:20" ht="31.5" customHeight="1" thickTop="1" thickBot="1">
      <c r="A13" s="133" t="s">
        <v>20</v>
      </c>
      <c r="B13" s="345"/>
      <c r="C13" s="346"/>
      <c r="D13" s="346"/>
      <c r="E13" s="346"/>
      <c r="F13" s="346"/>
      <c r="G13" s="346"/>
      <c r="H13" s="346"/>
      <c r="I13" s="346"/>
      <c r="J13" s="346"/>
      <c r="K13" s="346"/>
      <c r="L13" s="346"/>
      <c r="M13" s="346"/>
      <c r="N13" s="346"/>
      <c r="O13" s="346"/>
      <c r="P13" s="346"/>
      <c r="Q13" s="346"/>
      <c r="R13" s="346"/>
      <c r="S13" s="347"/>
    </row>
    <row r="14" spans="1:20" ht="94.2" thickTop="1">
      <c r="A14" s="315" t="s">
        <v>24</v>
      </c>
      <c r="B14" s="168">
        <f>Data!A28</f>
        <v>2.1</v>
      </c>
      <c r="C14" s="169" t="str">
        <f>Data!B28</f>
        <v>Review of the Problem Area</v>
      </c>
      <c r="D14" s="170" t="str">
        <f>Data!C28</f>
        <v xml:space="preserve">Summarizes and synthesizes existing research to support the claims of the problem.  Information gathered is technically sound and adequate, e.g., summarizes benchmarked prototypes, patents, research publications, etc. Properly cited work using IEEE style. Includes visual aids (e.g., figures, tables) and technical details to introduce the various claims and approaches published in literature. </v>
      </c>
      <c r="E14" s="28" t="s">
        <v>22</v>
      </c>
      <c r="F14" s="50"/>
      <c r="G14" s="50"/>
      <c r="H14" s="50"/>
      <c r="I14" s="50"/>
      <c r="J14" s="50"/>
      <c r="K14" s="50"/>
      <c r="L14" s="50"/>
      <c r="M14" s="50"/>
      <c r="N14" s="50"/>
      <c r="O14" s="50"/>
      <c r="P14" s="50"/>
      <c r="Q14" s="51"/>
      <c r="R14" s="28">
        <f t="shared" si="0"/>
        <v>12</v>
      </c>
      <c r="S14" s="354">
        <f>AVERAGE(R14:R15)</f>
        <v>12</v>
      </c>
    </row>
    <row r="15" spans="1:20" ht="46.5" customHeight="1" thickBot="1">
      <c r="A15" s="314"/>
      <c r="B15" s="171">
        <f>Data!A29</f>
        <v>2.2000000000000002</v>
      </c>
      <c r="C15" s="172" t="str">
        <f>Data!B29</f>
        <v>Review of State-of-the-Art</v>
      </c>
      <c r="D15" s="173" t="str">
        <f>Data!C29</f>
        <v>Introduces relevant products and technologies that exist in research or the market. Introduces appropriate metrics to describe the State-of-Art performance.</v>
      </c>
      <c r="E15" s="29" t="s">
        <v>22</v>
      </c>
      <c r="F15" s="53"/>
      <c r="G15" s="53"/>
      <c r="H15" s="53"/>
      <c r="I15" s="53"/>
      <c r="J15" s="53"/>
      <c r="K15" s="53"/>
      <c r="L15" s="53"/>
      <c r="M15" s="53"/>
      <c r="N15" s="53"/>
      <c r="O15" s="53"/>
      <c r="P15" s="53"/>
      <c r="Q15" s="54"/>
      <c r="R15" s="29">
        <f t="shared" si="0"/>
        <v>12</v>
      </c>
      <c r="S15" s="355"/>
    </row>
    <row r="16" spans="1:20" ht="31.5" customHeight="1" thickTop="1" thickBot="1">
      <c r="A16" s="133" t="s">
        <v>20</v>
      </c>
      <c r="B16" s="345"/>
      <c r="C16" s="346"/>
      <c r="D16" s="346"/>
      <c r="E16" s="346"/>
      <c r="F16" s="346"/>
      <c r="G16" s="346"/>
      <c r="H16" s="346"/>
      <c r="I16" s="346"/>
      <c r="J16" s="346"/>
      <c r="K16" s="346"/>
      <c r="L16" s="346"/>
      <c r="M16" s="346"/>
      <c r="N16" s="346"/>
      <c r="O16" s="346"/>
      <c r="P16" s="346"/>
      <c r="Q16" s="346"/>
      <c r="R16" s="346"/>
      <c r="S16" s="347"/>
    </row>
    <row r="17" spans="1:19" ht="51.6" customHeight="1" thickTop="1">
      <c r="A17" s="315" t="s">
        <v>25</v>
      </c>
      <c r="B17" s="168">
        <f>Data!A31</f>
        <v>3.1</v>
      </c>
      <c r="C17" s="169" t="str">
        <f>Data!B31</f>
        <v xml:space="preserve">Requirements Matrix </v>
      </c>
      <c r="D17" s="170" t="str">
        <f>Data!C31</f>
        <v>Translates the client's needs into engineering statements using relevant metrics of performance (one, unambiguous and measurable value). Describes the relationships between these statements. Has received Client approval.</v>
      </c>
      <c r="E17" s="28" t="s">
        <v>22</v>
      </c>
      <c r="F17" s="50"/>
      <c r="G17" s="50"/>
      <c r="H17" s="50"/>
      <c r="I17" s="50"/>
      <c r="J17" s="50"/>
      <c r="K17" s="50"/>
      <c r="L17" s="50"/>
      <c r="M17" s="50"/>
      <c r="N17" s="50"/>
      <c r="O17" s="50"/>
      <c r="P17" s="50"/>
      <c r="Q17" s="51"/>
      <c r="R17" s="28">
        <f t="shared" si="0"/>
        <v>12</v>
      </c>
      <c r="S17" s="354">
        <f>AVERAGE(R17:R18)</f>
        <v>12</v>
      </c>
    </row>
    <row r="18" spans="1:19" ht="81" customHeight="1" thickBot="1">
      <c r="A18" s="314"/>
      <c r="B18" s="171">
        <f>Data!A32</f>
        <v>3.2</v>
      </c>
      <c r="C18" s="172" t="str">
        <f>Data!B32</f>
        <v>Exploratory Concepts</v>
      </c>
      <c r="D18" s="173" t="str">
        <f>Data!C32</f>
        <v>Presents (at least) three exploratory designs that can potentially meet the design requirements. Provides evidence to substantiate the validity of the designs. Points out the strengths and weaknesses of each design. Includes sketches and/or models to demonstrate the completeness of the exploratory designs.</v>
      </c>
      <c r="E18" s="29" t="s">
        <v>22</v>
      </c>
      <c r="F18" s="53"/>
      <c r="G18" s="53"/>
      <c r="H18" s="53"/>
      <c r="I18" s="53"/>
      <c r="J18" s="53"/>
      <c r="K18" s="53"/>
      <c r="L18" s="53"/>
      <c r="M18" s="53"/>
      <c r="N18" s="53"/>
      <c r="O18" s="53"/>
      <c r="P18" s="53"/>
      <c r="Q18" s="54"/>
      <c r="R18" s="29">
        <f t="shared" si="0"/>
        <v>12</v>
      </c>
      <c r="S18" s="355"/>
    </row>
    <row r="19" spans="1:19" ht="31.5" customHeight="1" thickTop="1" thickBot="1">
      <c r="A19" s="133" t="s">
        <v>20</v>
      </c>
      <c r="B19" s="345"/>
      <c r="C19" s="346"/>
      <c r="D19" s="346"/>
      <c r="E19" s="346"/>
      <c r="F19" s="346"/>
      <c r="G19" s="346"/>
      <c r="H19" s="346"/>
      <c r="I19" s="346"/>
      <c r="J19" s="346"/>
      <c r="K19" s="346"/>
      <c r="L19" s="346"/>
      <c r="M19" s="346"/>
      <c r="N19" s="346"/>
      <c r="O19" s="346"/>
      <c r="P19" s="346"/>
      <c r="Q19" s="346"/>
      <c r="R19" s="346"/>
      <c r="S19" s="347"/>
    </row>
    <row r="20" spans="1:19" ht="31.8" thickTop="1">
      <c r="A20" s="315" t="s">
        <v>26</v>
      </c>
      <c r="B20" s="168">
        <f>Data!A35</f>
        <v>4.0999999999999996</v>
      </c>
      <c r="C20" s="169" t="str">
        <f>Data!B35</f>
        <v>Member Bios, Team Member Roles</v>
      </c>
      <c r="D20" s="170" t="str">
        <f>Data!C35</f>
        <v>Table includes students' image, name, degree(s), and assigned role(s).</v>
      </c>
      <c r="E20" s="28" t="s">
        <v>22</v>
      </c>
      <c r="F20" s="50"/>
      <c r="G20" s="50"/>
      <c r="H20" s="50"/>
      <c r="I20" s="50"/>
      <c r="J20" s="50"/>
      <c r="K20" s="50"/>
      <c r="L20" s="50"/>
      <c r="M20" s="50"/>
      <c r="N20" s="50"/>
      <c r="O20" s="50"/>
      <c r="P20" s="50"/>
      <c r="Q20" s="51"/>
      <c r="R20" s="28">
        <f t="shared" si="0"/>
        <v>12</v>
      </c>
      <c r="S20" s="354">
        <f>AVERAGE(R20:R21)</f>
        <v>12</v>
      </c>
    </row>
    <row r="21" spans="1:19" ht="34.5" customHeight="1" thickBot="1">
      <c r="A21" s="314"/>
      <c r="B21" s="171">
        <f>Data!A36</f>
        <v>4.2</v>
      </c>
      <c r="C21" s="172" t="str">
        <f>Data!B36</f>
        <v>Team Charter</v>
      </c>
      <c r="D21" s="173" t="str">
        <f>Data!C36</f>
        <v>Expectations listed for each team member, faculty mentor and customer mentor.</v>
      </c>
      <c r="E21" s="29" t="s">
        <v>22</v>
      </c>
      <c r="F21" s="53"/>
      <c r="G21" s="53"/>
      <c r="H21" s="53"/>
      <c r="I21" s="53"/>
      <c r="J21" s="53"/>
      <c r="K21" s="53"/>
      <c r="L21" s="53"/>
      <c r="M21" s="53"/>
      <c r="N21" s="53"/>
      <c r="O21" s="53"/>
      <c r="P21" s="53"/>
      <c r="Q21" s="54"/>
      <c r="R21" s="29">
        <f t="shared" si="0"/>
        <v>12</v>
      </c>
      <c r="S21" s="355"/>
    </row>
    <row r="22" spans="1:19" ht="31.5" customHeight="1" thickTop="1" thickBot="1">
      <c r="A22" s="133" t="s">
        <v>20</v>
      </c>
      <c r="B22" s="348"/>
      <c r="C22" s="349"/>
      <c r="D22" s="349"/>
      <c r="E22" s="349"/>
      <c r="F22" s="349"/>
      <c r="G22" s="349"/>
      <c r="H22" s="349"/>
      <c r="I22" s="349"/>
      <c r="J22" s="349"/>
      <c r="K22" s="349"/>
      <c r="L22" s="349"/>
      <c r="M22" s="349"/>
      <c r="N22" s="349"/>
      <c r="O22" s="349"/>
      <c r="P22" s="349"/>
      <c r="Q22" s="349"/>
      <c r="R22" s="349"/>
      <c r="S22" s="350"/>
    </row>
    <row r="23" spans="1:19" ht="69" customHeight="1" thickTop="1" thickBot="1">
      <c r="A23" s="356" t="s">
        <v>38</v>
      </c>
      <c r="B23" s="168">
        <f>Data!A39</f>
        <v>5.2</v>
      </c>
      <c r="C23" s="168" t="str">
        <f>Data!B39</f>
        <v>Conceptual Design</v>
      </c>
      <c r="D23" s="170" t="str">
        <f>Data!C39</f>
        <v>Presents (at least) three detailed conceptual designs that can meet the design requirements. Provides evidence to substantiate the validity of the designs. Points out strengths and weaknesses of each. Includes sketches and/or models to demonstrate the completeness of the designs.</v>
      </c>
      <c r="E23" s="45" t="s">
        <v>29</v>
      </c>
      <c r="F23" s="64"/>
      <c r="G23" s="64"/>
      <c r="H23" s="64"/>
      <c r="I23" s="64"/>
      <c r="J23" s="64"/>
      <c r="K23" s="64"/>
      <c r="L23" s="64"/>
      <c r="M23" s="64"/>
      <c r="N23" s="64"/>
      <c r="O23" s="64"/>
      <c r="P23" s="64"/>
      <c r="Q23" s="47"/>
      <c r="R23" s="45">
        <f t="shared" si="0"/>
        <v>12</v>
      </c>
      <c r="S23" s="65">
        <f>R23</f>
        <v>12</v>
      </c>
    </row>
    <row r="24" spans="1:19" ht="53.1" customHeight="1" thickTop="1">
      <c r="A24" s="357"/>
      <c r="B24" s="168">
        <f>Data!A40</f>
        <v>5.3</v>
      </c>
      <c r="C24" s="168" t="str">
        <f>Data!B40</f>
        <v>Down Selection Process</v>
      </c>
      <c r="D24" s="170" t="str">
        <f>Data!C40</f>
        <v>Discusses the results of the Down Selection process, includes the criteria and weighting factors for each criterion. Defines the final selection and explains why.</v>
      </c>
      <c r="E24" s="28" t="s">
        <v>22</v>
      </c>
      <c r="F24" s="50"/>
      <c r="G24" s="50"/>
      <c r="H24" s="50"/>
      <c r="I24" s="50"/>
      <c r="J24" s="50"/>
      <c r="K24" s="50"/>
      <c r="L24" s="50"/>
      <c r="M24" s="50"/>
      <c r="N24" s="50"/>
      <c r="O24" s="50"/>
      <c r="P24" s="50"/>
      <c r="Q24" s="51"/>
      <c r="R24" s="28">
        <f t="shared" si="0"/>
        <v>12</v>
      </c>
      <c r="S24" s="354">
        <f>AVERAGE(R24:R25)</f>
        <v>12</v>
      </c>
    </row>
    <row r="25" spans="1:19" ht="40.5" customHeight="1" thickBot="1">
      <c r="A25" s="358"/>
      <c r="B25" s="171">
        <f>Data!A44</f>
        <v>5.7</v>
      </c>
      <c r="C25" s="171" t="str">
        <f>Data!B44</f>
        <v>Critical Issues &amp; Risk Mitigation</v>
      </c>
      <c r="D25" s="173" t="str">
        <f>Data!C44</f>
        <v xml:space="preserve">Explains critical issues that have arisen. Translates critical issues into sequential action items. Explains the affect(s) on the critical path and schedule. </v>
      </c>
      <c r="E25" s="29" t="s">
        <v>22</v>
      </c>
      <c r="F25" s="53"/>
      <c r="G25" s="53"/>
      <c r="H25" s="53"/>
      <c r="I25" s="53"/>
      <c r="J25" s="53"/>
      <c r="K25" s="53"/>
      <c r="L25" s="53"/>
      <c r="M25" s="53"/>
      <c r="N25" s="53"/>
      <c r="O25" s="53"/>
      <c r="P25" s="53"/>
      <c r="Q25" s="54"/>
      <c r="R25" s="29">
        <f t="shared" si="0"/>
        <v>12</v>
      </c>
      <c r="S25" s="330"/>
    </row>
    <row r="26" spans="1:19" ht="31.5" customHeight="1" thickTop="1" thickBot="1">
      <c r="A26" s="174" t="s">
        <v>20</v>
      </c>
      <c r="B26" s="351"/>
      <c r="C26" s="352"/>
      <c r="D26" s="352"/>
      <c r="E26" s="352"/>
      <c r="F26" s="352"/>
      <c r="G26" s="352"/>
      <c r="H26" s="352"/>
      <c r="I26" s="352"/>
      <c r="J26" s="352"/>
      <c r="K26" s="352"/>
      <c r="L26" s="352"/>
      <c r="M26" s="352"/>
      <c r="N26" s="352"/>
      <c r="O26" s="352"/>
      <c r="P26" s="352"/>
      <c r="Q26" s="352"/>
      <c r="R26" s="352"/>
      <c r="S26" s="353"/>
    </row>
    <row r="27" spans="1:19" ht="78.599999999999994" thickTop="1">
      <c r="A27" s="315" t="s">
        <v>39</v>
      </c>
      <c r="B27" s="168">
        <f>Data!A65</f>
        <v>10.1</v>
      </c>
      <c r="C27" s="169" t="str">
        <f>Data!B65</f>
        <v>Project Schedule</v>
      </c>
      <c r="D27" s="170" t="str">
        <f>Data!C65</f>
        <v>Task descriptions contain an acceptable level of detail. Task predecessor links properly used with no open-ended tasks.  Task progress bar properly used to indicate % completion status of active tasks. All tasks set to Auto-Schedule mode. All Resource Names added. Milestones identified and properly linked. All task flow in a chronological order.</v>
      </c>
      <c r="E27" s="28" t="s">
        <v>22</v>
      </c>
      <c r="F27" s="50"/>
      <c r="G27" s="50"/>
      <c r="H27" s="50"/>
      <c r="I27" s="50"/>
      <c r="J27" s="50"/>
      <c r="K27" s="50"/>
      <c r="L27" s="50"/>
      <c r="M27" s="50"/>
      <c r="N27" s="50"/>
      <c r="O27" s="50"/>
      <c r="P27" s="50"/>
      <c r="Q27" s="51"/>
      <c r="R27" s="131">
        <f t="shared" si="0"/>
        <v>12</v>
      </c>
      <c r="S27" s="329">
        <f>AVERAGE(R27:R28)</f>
        <v>12</v>
      </c>
    </row>
    <row r="28" spans="1:19" ht="112.5" customHeight="1" thickBot="1">
      <c r="A28" s="314"/>
      <c r="B28" s="171">
        <f>Data!A66</f>
        <v>10.199999999999999</v>
      </c>
      <c r="C28" s="172" t="str">
        <f>Data!B66</f>
        <v>Gantt Charts &amp; Critical Path</v>
      </c>
      <c r="D28" s="173" t="str">
        <f>Data!C66&amp;" 1.5 &amp; Gate 2 Tasks."</f>
        <v>Gantt Chart(s): Properly formatted to clearly define project status details and all information in the Gantt Charts is aligned with the Gate requirements. Task level information clearly indicates an appropriate level of detail. Chart types are properly created as defined in the Project Schedule Guidelines. Critical Path: MS Project able to calculate critical path based on existing tasks and predecessor structure. Clearly defined and shown using the Level 3 chart format. Gantt Charts content should be To gate  1.5 &amp; Gate 2 Tasks.</v>
      </c>
      <c r="E28" s="29" t="s">
        <v>22</v>
      </c>
      <c r="F28" s="53"/>
      <c r="G28" s="53"/>
      <c r="H28" s="53"/>
      <c r="I28" s="53"/>
      <c r="J28" s="53"/>
      <c r="K28" s="53"/>
      <c r="L28" s="53"/>
      <c r="M28" s="53"/>
      <c r="N28" s="53"/>
      <c r="O28" s="53"/>
      <c r="P28" s="53"/>
      <c r="Q28" s="54"/>
      <c r="R28" s="148">
        <f t="shared" si="0"/>
        <v>12</v>
      </c>
      <c r="S28" s="330"/>
    </row>
    <row r="29" spans="1:19" ht="16.2" thickTop="1">
      <c r="A29" s="342" t="s">
        <v>20</v>
      </c>
      <c r="B29" s="341"/>
      <c r="C29" s="321"/>
      <c r="D29" s="321"/>
      <c r="E29" s="321"/>
      <c r="F29" s="321"/>
      <c r="G29" s="321"/>
      <c r="H29" s="321"/>
      <c r="I29" s="321"/>
      <c r="J29" s="321"/>
      <c r="K29" s="321"/>
      <c r="L29" s="321"/>
      <c r="M29" s="321"/>
      <c r="N29" s="321"/>
      <c r="O29" s="321"/>
      <c r="P29" s="321"/>
      <c r="Q29" s="322"/>
      <c r="R29" s="36" t="s">
        <v>30</v>
      </c>
      <c r="S29" s="37">
        <f>SUM(S4:S28)</f>
        <v>96</v>
      </c>
    </row>
    <row r="30" spans="1:19">
      <c r="A30" s="343"/>
      <c r="B30" s="324"/>
      <c r="C30" s="324"/>
      <c r="D30" s="324"/>
      <c r="E30" s="324"/>
      <c r="F30" s="324"/>
      <c r="G30" s="324"/>
      <c r="H30" s="324"/>
      <c r="I30" s="324"/>
      <c r="J30" s="324"/>
      <c r="K30" s="324"/>
      <c r="L30" s="324"/>
      <c r="M30" s="324"/>
      <c r="N30" s="324"/>
      <c r="O30" s="324"/>
      <c r="P30" s="324"/>
      <c r="Q30" s="325"/>
      <c r="R30" s="38" t="s">
        <v>31</v>
      </c>
      <c r="S30" s="39">
        <v>96</v>
      </c>
    </row>
    <row r="31" spans="1:19" ht="16.2" thickBot="1">
      <c r="A31" s="344"/>
      <c r="B31" s="327"/>
      <c r="C31" s="327"/>
      <c r="D31" s="327"/>
      <c r="E31" s="327"/>
      <c r="F31" s="327"/>
      <c r="G31" s="327"/>
      <c r="H31" s="327"/>
      <c r="I31" s="327"/>
      <c r="J31" s="327"/>
      <c r="K31" s="327"/>
      <c r="L31" s="327"/>
      <c r="M31" s="327"/>
      <c r="N31" s="327"/>
      <c r="O31" s="327"/>
      <c r="P31" s="327"/>
      <c r="Q31" s="328"/>
      <c r="R31" s="40" t="s">
        <v>32</v>
      </c>
      <c r="S31" s="41">
        <f>S29/S30</f>
        <v>1</v>
      </c>
    </row>
    <row r="32" spans="1:19" ht="16.2" thickTop="1">
      <c r="B32"/>
      <c r="C32" s="135"/>
      <c r="D32" s="25"/>
      <c r="E32" s="175"/>
      <c r="R32"/>
      <c r="S32"/>
    </row>
    <row r="33" spans="2:19">
      <c r="B33"/>
      <c r="C33" s="135"/>
      <c r="D33" s="176"/>
      <c r="E33" s="175"/>
      <c r="R33"/>
      <c r="S33"/>
    </row>
    <row r="34" spans="2:19">
      <c r="B34"/>
      <c r="C34" s="135"/>
      <c r="D34" s="25"/>
      <c r="E34" s="175"/>
      <c r="R34"/>
      <c r="S34"/>
    </row>
    <row r="35" spans="2:19">
      <c r="B35"/>
      <c r="C35" s="135"/>
      <c r="D35" s="25"/>
      <c r="E35"/>
      <c r="R35"/>
      <c r="S35"/>
    </row>
    <row r="36" spans="2:19">
      <c r="B36"/>
      <c r="C36" s="135"/>
      <c r="D36" s="25"/>
      <c r="E36"/>
      <c r="R36"/>
      <c r="S36"/>
    </row>
    <row r="37" spans="2:19">
      <c r="B37"/>
      <c r="C37" s="135"/>
      <c r="D37" s="25"/>
      <c r="E37"/>
      <c r="R37"/>
      <c r="S37"/>
    </row>
    <row r="38" spans="2:19">
      <c r="B38"/>
      <c r="C38" s="135"/>
      <c r="D38" s="25"/>
      <c r="E38"/>
      <c r="R38"/>
      <c r="S38"/>
    </row>
    <row r="39" spans="2:19">
      <c r="C39" s="135"/>
    </row>
    <row r="40" spans="2:19" ht="14.4">
      <c r="C40"/>
    </row>
    <row r="41" spans="2:19" ht="14.4">
      <c r="C41"/>
    </row>
    <row r="42" spans="2:19" ht="14.4">
      <c r="C42"/>
    </row>
    <row r="43" spans="2:19" ht="14.4">
      <c r="C43"/>
    </row>
    <row r="44" spans="2:19" ht="14.4">
      <c r="C44"/>
    </row>
    <row r="45" spans="2:19" ht="14.4">
      <c r="C45"/>
    </row>
    <row r="46" spans="2:19" ht="14.4">
      <c r="C46"/>
    </row>
  </sheetData>
  <mergeCells count="23">
    <mergeCell ref="S24:S25"/>
    <mergeCell ref="B8:S8"/>
    <mergeCell ref="A4:A7"/>
    <mergeCell ref="S4:S7"/>
    <mergeCell ref="A9:A12"/>
    <mergeCell ref="A14:A15"/>
    <mergeCell ref="S14:S15"/>
    <mergeCell ref="A2:S2"/>
    <mergeCell ref="B29:Q31"/>
    <mergeCell ref="A29:A31"/>
    <mergeCell ref="B13:S13"/>
    <mergeCell ref="B16:S16"/>
    <mergeCell ref="B19:S19"/>
    <mergeCell ref="B22:S22"/>
    <mergeCell ref="B26:S26"/>
    <mergeCell ref="A27:A28"/>
    <mergeCell ref="S27:S28"/>
    <mergeCell ref="A17:A18"/>
    <mergeCell ref="S17:S18"/>
    <mergeCell ref="A20:A21"/>
    <mergeCell ref="S20:S21"/>
    <mergeCell ref="A23:A25"/>
    <mergeCell ref="S9:S12"/>
  </mergeCells>
  <printOptions horizontalCentered="1"/>
  <pageMargins left="0.25" right="0.25" top="0.75" bottom="0.75" header="0.3" footer="0.3"/>
  <pageSetup scale="60" fitToHeight="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pageSetUpPr fitToPage="1"/>
  </sheetPr>
  <dimension ref="A1:Z163"/>
  <sheetViews>
    <sheetView zoomScaleNormal="100" workbookViewId="0">
      <pane xSplit="1" ySplit="3" topLeftCell="B4" activePane="bottomRight" state="frozen"/>
      <selection pane="topRight" activeCell="B1" sqref="B1"/>
      <selection pane="bottomLeft" activeCell="A4" sqref="A4"/>
      <selection pane="bottomRight" activeCell="A15" sqref="A15:A20"/>
    </sheetView>
  </sheetViews>
  <sheetFormatPr defaultColWidth="8.6640625" defaultRowHeight="15.6"/>
  <cols>
    <col min="1" max="1" width="17.6640625" style="5" customWidth="1"/>
    <col min="2" max="2" width="6.6640625" style="6" customWidth="1"/>
    <col min="3" max="3" width="44.44140625" style="4" customWidth="1"/>
    <col min="4" max="4" width="70.44140625" style="1" customWidth="1"/>
    <col min="5" max="5" width="12.33203125" bestFit="1" customWidth="1"/>
    <col min="6" max="7" width="4.44140625" customWidth="1"/>
    <col min="8" max="16" width="3.33203125" bestFit="1" customWidth="1"/>
    <col min="17" max="17" width="8.6640625" bestFit="1" customWidth="1"/>
    <col min="18" max="18" width="6" bestFit="1" customWidth="1"/>
    <col min="19" max="19" width="7.33203125" bestFit="1" customWidth="1"/>
    <col min="20" max="20" width="5.6640625" bestFit="1" customWidth="1"/>
  </cols>
  <sheetData>
    <row r="1" spans="1:26" ht="16.2" thickBot="1">
      <c r="B1" s="135"/>
    </row>
    <row r="2" spans="1:26" ht="34.799999999999997" thickTop="1" thickBot="1">
      <c r="A2" s="372" t="s">
        <v>40</v>
      </c>
      <c r="B2" s="373"/>
      <c r="C2" s="373"/>
      <c r="D2" s="373"/>
      <c r="E2" s="373"/>
      <c r="F2" s="373"/>
      <c r="G2" s="373"/>
      <c r="H2" s="373"/>
      <c r="I2" s="373"/>
      <c r="J2" s="373"/>
      <c r="K2" s="373"/>
      <c r="L2" s="373"/>
      <c r="M2" s="373"/>
      <c r="N2" s="373"/>
      <c r="O2" s="373"/>
      <c r="P2" s="373"/>
      <c r="Q2" s="373"/>
      <c r="R2" s="373"/>
      <c r="S2" s="373"/>
      <c r="T2" s="374"/>
    </row>
    <row r="3" spans="1:26" ht="63.6" thickTop="1" thickBot="1">
      <c r="A3" s="136" t="s">
        <v>1</v>
      </c>
      <c r="B3" s="136" t="s">
        <v>2</v>
      </c>
      <c r="C3" s="136" t="s">
        <v>3</v>
      </c>
      <c r="D3" s="136" t="s">
        <v>41</v>
      </c>
      <c r="E3" s="133" t="s">
        <v>5</v>
      </c>
      <c r="F3" s="137" t="s">
        <v>6</v>
      </c>
      <c r="G3" s="137" t="s">
        <v>7</v>
      </c>
      <c r="H3" s="137" t="s">
        <v>8</v>
      </c>
      <c r="I3" s="137" t="s">
        <v>9</v>
      </c>
      <c r="J3" s="137" t="s">
        <v>10</v>
      </c>
      <c r="K3" s="137" t="s">
        <v>11</v>
      </c>
      <c r="L3" s="137" t="s">
        <v>12</v>
      </c>
      <c r="M3" s="137" t="s">
        <v>13</v>
      </c>
      <c r="N3" s="137" t="s">
        <v>14</v>
      </c>
      <c r="O3" s="137" t="s">
        <v>15</v>
      </c>
      <c r="P3" s="137" t="s">
        <v>16</v>
      </c>
      <c r="Q3" s="138" t="s">
        <v>17</v>
      </c>
      <c r="R3" s="133" t="s">
        <v>18</v>
      </c>
      <c r="S3" s="177" t="s">
        <v>42</v>
      </c>
      <c r="T3" s="138" t="s">
        <v>19</v>
      </c>
    </row>
    <row r="4" spans="1:26" ht="16.2" thickTop="1">
      <c r="A4" s="315" t="s">
        <v>43</v>
      </c>
      <c r="B4" s="151" t="str">
        <f>Data!A6</f>
        <v>ii</v>
      </c>
      <c r="C4" s="152" t="str">
        <f>Data!B6</f>
        <v>Executive Summary</v>
      </c>
      <c r="D4" s="315" t="s">
        <v>44</v>
      </c>
      <c r="E4" s="131" t="s">
        <v>22</v>
      </c>
      <c r="F4" s="178"/>
      <c r="G4" s="178"/>
      <c r="H4" s="178"/>
      <c r="I4" s="178"/>
      <c r="J4" s="178"/>
      <c r="K4" s="178"/>
      <c r="L4" s="178"/>
      <c r="M4" s="178"/>
      <c r="N4" s="178"/>
      <c r="O4" s="178"/>
      <c r="P4" s="178"/>
      <c r="Q4" s="154"/>
      <c r="R4" s="28">
        <f>IF(E4="x",12,IF(F4="x",11,IF(G4="x",10,IF(H4="x",9,IF(I4="x",8,IF(J4="x",7,IF(K4="x",6,IF(L4="x",5,IF(M4="x",4,IF(N4="x",3,IF(O4="x",2,IF(P4="x",1,IF(Q4="x",0,"")))))))))))))</f>
        <v>12</v>
      </c>
      <c r="S4" s="364">
        <v>1</v>
      </c>
      <c r="T4" s="329">
        <f>AVERAGE(R4:R9)*S4</f>
        <v>12</v>
      </c>
    </row>
    <row r="5" spans="1:26">
      <c r="A5" s="316"/>
      <c r="B5" s="155">
        <f>Data!A25</f>
        <v>1.3</v>
      </c>
      <c r="C5" s="156" t="str">
        <f>Data!B25</f>
        <v>Scope of Work</v>
      </c>
      <c r="D5" s="316"/>
      <c r="E5" s="130" t="s">
        <v>22</v>
      </c>
      <c r="F5" s="134"/>
      <c r="G5" s="134"/>
      <c r="H5" s="134"/>
      <c r="I5" s="134"/>
      <c r="J5" s="134"/>
      <c r="K5" s="134"/>
      <c r="L5" s="134"/>
      <c r="M5" s="134"/>
      <c r="N5" s="134"/>
      <c r="O5" s="134"/>
      <c r="P5" s="134"/>
      <c r="Q5" s="158"/>
      <c r="R5" s="32">
        <f t="shared" ref="R5:R6" si="0">IF(E5="x",12,IF(F5="x",11,IF(G5="x",10,IF(H5="x",9,IF(I5="x",8,IF(J5="x",7,IF(K5="x",6,IF(L5="x",5,IF(M5="x",4,IF(N5="x",3,IF(O5="x",2,IF(P5="x",1,IF(Q5="x",0,"")))))))))))))</f>
        <v>12</v>
      </c>
      <c r="S5" s="375"/>
      <c r="T5" s="331"/>
      <c r="U5" s="376"/>
      <c r="V5" s="376"/>
      <c r="W5" s="376"/>
      <c r="X5" s="376"/>
      <c r="Y5" s="376"/>
      <c r="Z5" s="376"/>
    </row>
    <row r="6" spans="1:26">
      <c r="A6" s="316"/>
      <c r="B6" s="155">
        <f>Data!A26</f>
        <v>1.4</v>
      </c>
      <c r="C6" s="156" t="str">
        <f>Data!B26</f>
        <v>Deliverables</v>
      </c>
      <c r="D6" s="316"/>
      <c r="E6" s="130" t="s">
        <v>22</v>
      </c>
      <c r="F6" s="134"/>
      <c r="G6" s="134"/>
      <c r="H6" s="134"/>
      <c r="I6" s="134"/>
      <c r="J6" s="134"/>
      <c r="K6" s="134"/>
      <c r="L6" s="134"/>
      <c r="M6" s="134"/>
      <c r="N6" s="134"/>
      <c r="O6" s="134"/>
      <c r="P6" s="134"/>
      <c r="Q6" s="158"/>
      <c r="R6" s="32">
        <f t="shared" si="0"/>
        <v>12</v>
      </c>
      <c r="S6" s="375"/>
      <c r="T6" s="331"/>
    </row>
    <row r="7" spans="1:26">
      <c r="A7" s="316"/>
      <c r="B7" s="155">
        <f>Data!A31</f>
        <v>3.1</v>
      </c>
      <c r="C7" s="156" t="str">
        <f>Data!B31</f>
        <v xml:space="preserve">Requirements Matrix </v>
      </c>
      <c r="D7" s="316"/>
      <c r="E7" s="130" t="s">
        <v>22</v>
      </c>
      <c r="F7" s="134"/>
      <c r="G7" s="134"/>
      <c r="H7" s="134"/>
      <c r="I7" s="134"/>
      <c r="J7" s="134"/>
      <c r="K7" s="134"/>
      <c r="L7" s="134"/>
      <c r="M7" s="134"/>
      <c r="N7" s="134"/>
      <c r="O7" s="134"/>
      <c r="P7" s="134"/>
      <c r="Q7" s="158"/>
      <c r="R7" s="32">
        <f t="shared" ref="R7:R27" si="1">IF(E7="x",12,IF(F7="x",11,IF(G7="x",10,IF(H7="x",9,IF(I7="x",8,IF(J7="x",7,IF(K7="x",6,IF(L7="x",5,IF(M7="x",4,IF(N7="x",3,IF(O7="x",2,IF(P7="x",1,IF(Q7="x",0,"")))))))))))))</f>
        <v>12</v>
      </c>
      <c r="S7" s="375"/>
      <c r="T7" s="331"/>
      <c r="U7" s="376"/>
      <c r="V7" s="376"/>
      <c r="W7" s="376"/>
      <c r="X7" s="376"/>
      <c r="Y7" s="376"/>
      <c r="Z7" s="376"/>
    </row>
    <row r="8" spans="1:26">
      <c r="A8" s="316"/>
      <c r="B8" s="155">
        <f>Data!A32</f>
        <v>3.2</v>
      </c>
      <c r="C8" s="156" t="str">
        <f>Data!B32</f>
        <v>Exploratory Concepts</v>
      </c>
      <c r="D8" s="316"/>
      <c r="E8" s="130" t="s">
        <v>22</v>
      </c>
      <c r="F8" s="134"/>
      <c r="G8" s="134"/>
      <c r="H8" s="134"/>
      <c r="I8" s="134"/>
      <c r="J8" s="134"/>
      <c r="K8" s="134"/>
      <c r="L8" s="134"/>
      <c r="M8" s="134"/>
      <c r="N8" s="134"/>
      <c r="O8" s="134"/>
      <c r="P8" s="134"/>
      <c r="Q8" s="158"/>
      <c r="R8" s="32">
        <f t="shared" si="1"/>
        <v>12</v>
      </c>
      <c r="S8" s="375"/>
      <c r="T8" s="331"/>
    </row>
    <row r="9" spans="1:26" ht="16.2" thickBot="1">
      <c r="A9" s="314"/>
      <c r="B9" s="145">
        <f>Data!A67</f>
        <v>10.3</v>
      </c>
      <c r="C9" s="146" t="str">
        <f>Data!B67</f>
        <v>MS Teams File Documentation</v>
      </c>
      <c r="D9" s="314"/>
      <c r="E9" s="148" t="s">
        <v>22</v>
      </c>
      <c r="F9" s="149"/>
      <c r="G9" s="149"/>
      <c r="H9" s="149"/>
      <c r="I9" s="149"/>
      <c r="J9" s="149"/>
      <c r="K9" s="149"/>
      <c r="L9" s="149"/>
      <c r="M9" s="149"/>
      <c r="N9" s="149"/>
      <c r="O9" s="149"/>
      <c r="P9" s="149"/>
      <c r="Q9" s="150"/>
      <c r="R9" s="29">
        <f t="shared" si="1"/>
        <v>12</v>
      </c>
      <c r="S9" s="365"/>
      <c r="T9" s="330"/>
    </row>
    <row r="10" spans="1:26" ht="94.2" thickTop="1">
      <c r="A10" s="315" t="s">
        <v>24</v>
      </c>
      <c r="B10" s="151">
        <f>Data!A28</f>
        <v>2.1</v>
      </c>
      <c r="C10" s="152" t="str">
        <f>Data!B28</f>
        <v>Review of the Problem Area</v>
      </c>
      <c r="D10" s="179" t="str">
        <f>Data!C28</f>
        <v xml:space="preserve">Summarizes and synthesizes existing research to support the claims of the problem.  Information gathered is technically sound and adequate, e.g., summarizes benchmarked prototypes, patents, research publications, etc. Properly cited work using IEEE style. Includes visual aids (e.g., figures, tables) and technical details to introduce the various claims and approaches published in literature. </v>
      </c>
      <c r="E10" s="131" t="s">
        <v>22</v>
      </c>
      <c r="F10" s="178"/>
      <c r="G10" s="178"/>
      <c r="H10" s="178"/>
      <c r="I10" s="178"/>
      <c r="J10" s="178"/>
      <c r="K10" s="178"/>
      <c r="L10" s="178"/>
      <c r="M10" s="178"/>
      <c r="N10" s="178"/>
      <c r="O10" s="178"/>
      <c r="P10" s="178"/>
      <c r="Q10" s="154"/>
      <c r="R10" s="28">
        <f t="shared" si="1"/>
        <v>12</v>
      </c>
      <c r="S10" s="364">
        <v>1</v>
      </c>
      <c r="T10" s="329">
        <f>AVERAGE(R10:R11)*S10</f>
        <v>12</v>
      </c>
    </row>
    <row r="11" spans="1:26" ht="47.4" thickBot="1">
      <c r="A11" s="314"/>
      <c r="B11" s="145">
        <f>Data!A29</f>
        <v>2.2000000000000002</v>
      </c>
      <c r="C11" s="146" t="str">
        <f>Data!B29</f>
        <v>Review of State-of-the-Art</v>
      </c>
      <c r="D11" s="180" t="str">
        <f>Data!C29</f>
        <v>Introduces relevant products and technologies that exist in research or the market. Introduces appropriate metrics to describe the State-of-Art performance.</v>
      </c>
      <c r="E11" s="148" t="s">
        <v>22</v>
      </c>
      <c r="F11" s="149"/>
      <c r="G11" s="149"/>
      <c r="H11" s="149"/>
      <c r="I11" s="149"/>
      <c r="J11" s="149"/>
      <c r="K11" s="149"/>
      <c r="L11" s="149"/>
      <c r="M11" s="149"/>
      <c r="N11" s="149"/>
      <c r="O11" s="149"/>
      <c r="P11" s="149"/>
      <c r="Q11" s="150"/>
      <c r="R11" s="29">
        <f t="shared" si="1"/>
        <v>12</v>
      </c>
      <c r="S11" s="365"/>
      <c r="T11" s="330"/>
      <c r="U11" s="377"/>
      <c r="V11" s="377"/>
      <c r="W11" s="377"/>
      <c r="X11" s="377"/>
      <c r="Y11" s="377"/>
    </row>
    <row r="12" spans="1:26" ht="47.25" customHeight="1" thickTop="1" thickBot="1">
      <c r="A12" s="315" t="s">
        <v>25</v>
      </c>
      <c r="B12" s="151">
        <f>Data!A31</f>
        <v>3.1</v>
      </c>
      <c r="C12" s="181" t="str">
        <f>Data!B31</f>
        <v xml:space="preserve">Requirements Matrix </v>
      </c>
      <c r="D12" s="182" t="str">
        <f>Data!C31</f>
        <v>Translates the client's needs into engineering statements using relevant metrics of performance (one, unambiguous and measurable value). Describes the relationships between these statements. Has received Client approval.</v>
      </c>
      <c r="E12" s="183" t="s">
        <v>22</v>
      </c>
      <c r="F12" s="178"/>
      <c r="G12" s="178"/>
      <c r="H12" s="178"/>
      <c r="I12" s="178"/>
      <c r="J12" s="178"/>
      <c r="K12" s="178"/>
      <c r="L12" s="178"/>
      <c r="M12" s="178"/>
      <c r="N12" s="178"/>
      <c r="O12" s="178"/>
      <c r="P12" s="178"/>
      <c r="Q12" s="154"/>
      <c r="R12" s="28">
        <f t="shared" si="1"/>
        <v>12</v>
      </c>
      <c r="S12" s="362">
        <v>1.5</v>
      </c>
      <c r="T12" s="329">
        <f>AVERAGE(R12:R14)*S12</f>
        <v>18</v>
      </c>
    </row>
    <row r="13" spans="1:26" ht="78.599999999999994" thickTop="1">
      <c r="A13" s="316"/>
      <c r="B13" s="155">
        <f>Data!A32</f>
        <v>3.2</v>
      </c>
      <c r="C13" s="156" t="str">
        <f>Data!B32</f>
        <v>Exploratory Concepts</v>
      </c>
      <c r="D13" s="184" t="str">
        <f>Data!C32</f>
        <v>Presents (at least) three exploratory designs that can potentially meet the design requirements. Provides evidence to substantiate the validity of the designs. Points out the strengths and weaknesses of each design. Includes sketches and/or models to demonstrate the completeness of the exploratory designs.</v>
      </c>
      <c r="E13" s="130" t="s">
        <v>22</v>
      </c>
      <c r="F13" s="134"/>
      <c r="G13" s="134"/>
      <c r="H13" s="134"/>
      <c r="I13" s="134"/>
      <c r="J13" s="134"/>
      <c r="K13" s="134"/>
      <c r="L13" s="134"/>
      <c r="M13" s="134"/>
      <c r="N13" s="134"/>
      <c r="O13" s="134"/>
      <c r="P13" s="134"/>
      <c r="Q13" s="158"/>
      <c r="R13" s="32">
        <f t="shared" si="1"/>
        <v>12</v>
      </c>
      <c r="S13" s="379"/>
      <c r="T13" s="331"/>
    </row>
    <row r="14" spans="1:26" ht="47.4" thickBot="1">
      <c r="A14" s="314"/>
      <c r="B14" s="145">
        <f>Data!A33</f>
        <v>3.3</v>
      </c>
      <c r="C14" s="146" t="str">
        <f>Data!B33</f>
        <v>Resource Requirements</v>
      </c>
      <c r="D14" s="185" t="str">
        <f>Data!C33</f>
        <v>Expected resource needs to support the project are clearly defined. Status and timeline of any on-going Investigations into resource availabilities is well defined.</v>
      </c>
      <c r="E14" s="148" t="s">
        <v>22</v>
      </c>
      <c r="F14" s="149"/>
      <c r="G14" s="149"/>
      <c r="H14" s="149"/>
      <c r="I14" s="149"/>
      <c r="J14" s="149"/>
      <c r="K14" s="149"/>
      <c r="L14" s="149"/>
      <c r="M14" s="149"/>
      <c r="N14" s="149"/>
      <c r="O14" s="149"/>
      <c r="P14" s="149"/>
      <c r="Q14" s="150"/>
      <c r="R14" s="29">
        <f t="shared" si="1"/>
        <v>12</v>
      </c>
      <c r="S14" s="363"/>
      <c r="T14" s="330"/>
      <c r="U14" s="378"/>
      <c r="V14" s="378"/>
      <c r="W14" s="378"/>
      <c r="X14" s="378"/>
      <c r="Y14" s="378"/>
    </row>
    <row r="15" spans="1:26" ht="94.2" thickTop="1">
      <c r="A15" s="315" t="s">
        <v>38</v>
      </c>
      <c r="B15" s="186">
        <f>Data!A38</f>
        <v>5.0999999999999996</v>
      </c>
      <c r="C15" s="187" t="str">
        <f>Data!B38</f>
        <v>System Decomposition</v>
      </c>
      <c r="D15" s="141" t="str">
        <f>Data!C38</f>
        <v xml:space="preserve">Decompose the complexity of the system/problem by describing its constituent components. Break down the complex system/problem into smaller, more manageable parts by building a hierarchical representation of critical subsystems. Depending on the system, you may consider developing a functional decomposition, assembly decomposition, or service-based decomposition.  </v>
      </c>
      <c r="E15" s="142" t="s">
        <v>22</v>
      </c>
      <c r="F15" s="143"/>
      <c r="G15" s="143"/>
      <c r="H15" s="143"/>
      <c r="I15" s="143"/>
      <c r="J15" s="143"/>
      <c r="K15" s="143"/>
      <c r="L15" s="143"/>
      <c r="M15" s="143"/>
      <c r="N15" s="143"/>
      <c r="O15" s="143"/>
      <c r="P15" s="143"/>
      <c r="Q15" s="144"/>
      <c r="R15" s="42">
        <f t="shared" si="1"/>
        <v>12</v>
      </c>
      <c r="S15" s="380">
        <v>1.5</v>
      </c>
      <c r="T15" s="381">
        <f>AVERAGE(R15:R17)*S15</f>
        <v>18</v>
      </c>
      <c r="V15" s="7"/>
    </row>
    <row r="16" spans="1:26" ht="78">
      <c r="A16" s="316"/>
      <c r="B16" s="188">
        <f>Data!A39</f>
        <v>5.2</v>
      </c>
      <c r="C16" s="189" t="str">
        <f>Data!B39</f>
        <v>Conceptual Design</v>
      </c>
      <c r="D16" s="166" t="str">
        <f>Data!C39</f>
        <v>Presents (at least) three detailed conceptual designs that can meet the design requirements. Provides evidence to substantiate the validity of the designs. Points out strengths and weaknesses of each. Includes sketches and/or models to demonstrate the completeness of the designs.</v>
      </c>
      <c r="E16" s="130" t="s">
        <v>22</v>
      </c>
      <c r="F16" s="134"/>
      <c r="G16" s="134"/>
      <c r="H16" s="134"/>
      <c r="I16" s="134"/>
      <c r="J16" s="134"/>
      <c r="K16" s="134"/>
      <c r="L16" s="134"/>
      <c r="M16" s="134"/>
      <c r="N16" s="134"/>
      <c r="O16" s="134"/>
      <c r="P16" s="134"/>
      <c r="Q16" s="158"/>
      <c r="R16" s="32">
        <f t="shared" si="1"/>
        <v>12</v>
      </c>
      <c r="S16" s="379"/>
      <c r="T16" s="331"/>
    </row>
    <row r="17" spans="1:23" ht="47.4" thickBot="1">
      <c r="A17" s="316"/>
      <c r="B17" s="190">
        <f>Data!A40</f>
        <v>5.3</v>
      </c>
      <c r="C17" s="191" t="str">
        <f>Data!B40</f>
        <v>Down Selection Process</v>
      </c>
      <c r="D17" s="147" t="str">
        <f>Data!C40</f>
        <v>Discusses the results of the Down Selection process, includes the criteria and weighting factors for each criterion. Defines the final selection and explains why.</v>
      </c>
      <c r="E17" s="148" t="s">
        <v>22</v>
      </c>
      <c r="F17" s="149"/>
      <c r="G17" s="149"/>
      <c r="H17" s="149"/>
      <c r="I17" s="149"/>
      <c r="J17" s="149"/>
      <c r="K17" s="149"/>
      <c r="L17" s="149"/>
      <c r="M17" s="149"/>
      <c r="N17" s="149"/>
      <c r="O17" s="149"/>
      <c r="P17" s="149"/>
      <c r="Q17" s="150"/>
      <c r="R17" s="29">
        <f t="shared" si="1"/>
        <v>12</v>
      </c>
      <c r="S17" s="363"/>
      <c r="T17" s="330"/>
      <c r="U17" s="383"/>
      <c r="V17" s="383"/>
      <c r="W17" s="383"/>
    </row>
    <row r="18" spans="1:23" ht="47.4" thickTop="1">
      <c r="A18" s="316"/>
      <c r="B18" s="192">
        <f>Data!A42</f>
        <v>5.5</v>
      </c>
      <c r="C18" s="193" t="str">
        <f>Data!B42</f>
        <v xml:space="preserve">Design Calculations &amp; Analysis Results </v>
      </c>
      <c r="D18" s="165" t="str">
        <f>Data!C42</f>
        <v>Provide and describe the analytical models used to support the design. (FEA, Electrical simulations, Mechanical analysis) Provide and describe the experiments and measurements that support the design.</v>
      </c>
      <c r="E18" s="131" t="s">
        <v>22</v>
      </c>
      <c r="F18" s="178"/>
      <c r="G18" s="178"/>
      <c r="H18" s="178"/>
      <c r="I18" s="178"/>
      <c r="J18" s="178"/>
      <c r="K18" s="178"/>
      <c r="L18" s="178"/>
      <c r="M18" s="178"/>
      <c r="N18" s="178"/>
      <c r="O18" s="178"/>
      <c r="P18" s="178"/>
      <c r="Q18" s="154"/>
      <c r="R18" s="28">
        <f t="shared" si="1"/>
        <v>12</v>
      </c>
      <c r="S18" s="362">
        <v>1</v>
      </c>
      <c r="T18" s="329">
        <f>AVERAGE(R18:R20)*S18</f>
        <v>12</v>
      </c>
    </row>
    <row r="19" spans="1:23" ht="31.2">
      <c r="A19" s="316"/>
      <c r="B19" s="188">
        <f>Data!A43</f>
        <v>5.6</v>
      </c>
      <c r="C19" s="189" t="str">
        <f>Data!B43</f>
        <v>Mathematical Modeling (Lit review)</v>
      </c>
      <c r="D19" s="166" t="str">
        <f>Data!C43</f>
        <v xml:space="preserve">Define all analytical approaches to be used to support confirmation that your system design will meet the client requirements.  </v>
      </c>
      <c r="E19" s="130" t="s">
        <v>22</v>
      </c>
      <c r="F19" s="134"/>
      <c r="G19" s="134"/>
      <c r="H19" s="134"/>
      <c r="I19" s="134"/>
      <c r="J19" s="134"/>
      <c r="K19" s="134"/>
      <c r="L19" s="134"/>
      <c r="M19" s="134"/>
      <c r="N19" s="134"/>
      <c r="O19" s="134"/>
      <c r="P19" s="134"/>
      <c r="Q19" s="158"/>
      <c r="R19" s="32">
        <f t="shared" si="1"/>
        <v>12</v>
      </c>
      <c r="S19" s="379"/>
      <c r="T19" s="331"/>
    </row>
    <row r="20" spans="1:23" ht="57.75" customHeight="1" thickBot="1">
      <c r="A20" s="332"/>
      <c r="B20" s="194">
        <f>Data!A44</f>
        <v>5.7</v>
      </c>
      <c r="C20" s="195" t="str">
        <f>Data!B44</f>
        <v>Critical Issues &amp; Risk Mitigation</v>
      </c>
      <c r="D20" s="196" t="str">
        <f>Data!C44</f>
        <v xml:space="preserve">Explains critical issues that have arisen. Translates critical issues into sequential action items. Explains the affect(s) on the critical path and schedule. </v>
      </c>
      <c r="E20" s="162" t="s">
        <v>22</v>
      </c>
      <c r="F20" s="197"/>
      <c r="G20" s="197"/>
      <c r="H20" s="197"/>
      <c r="I20" s="197"/>
      <c r="J20" s="197"/>
      <c r="K20" s="197"/>
      <c r="L20" s="197"/>
      <c r="M20" s="197"/>
      <c r="N20" s="197"/>
      <c r="O20" s="197"/>
      <c r="P20" s="197"/>
      <c r="Q20" s="164"/>
      <c r="R20" s="35">
        <f t="shared" si="1"/>
        <v>12</v>
      </c>
      <c r="S20" s="382"/>
      <c r="T20" s="337"/>
    </row>
    <row r="21" spans="1:23" ht="78.599999999999994" thickTop="1">
      <c r="A21" s="315" t="s">
        <v>39</v>
      </c>
      <c r="B21" s="198">
        <f>Data!A65</f>
        <v>10.1</v>
      </c>
      <c r="C21" s="193" t="str">
        <f>Data!B65</f>
        <v>Project Schedule</v>
      </c>
      <c r="D21" s="179" t="str">
        <f>Data!C65</f>
        <v>Task descriptions contain an acceptable level of detail. Task predecessor links properly used with no open-ended tasks.  Task progress bar properly used to indicate % completion status of active tasks. All tasks set to Auto-Schedule mode. All Resource Names added. Milestones identified and properly linked. All task flow in a chronological order.</v>
      </c>
      <c r="E21" s="131" t="s">
        <v>22</v>
      </c>
      <c r="F21" s="178"/>
      <c r="G21" s="178"/>
      <c r="H21" s="178"/>
      <c r="I21" s="178"/>
      <c r="J21" s="178"/>
      <c r="K21" s="178"/>
      <c r="L21" s="178"/>
      <c r="M21" s="178"/>
      <c r="N21" s="178"/>
      <c r="O21" s="178"/>
      <c r="P21" s="178"/>
      <c r="Q21" s="154"/>
      <c r="R21" s="28">
        <f t="shared" si="1"/>
        <v>12</v>
      </c>
      <c r="S21" s="362">
        <v>0.75</v>
      </c>
      <c r="T21" s="329">
        <f>AVERAGE(R21:R22)*S21</f>
        <v>9</v>
      </c>
    </row>
    <row r="22" spans="1:23" ht="117.75" customHeight="1" thickBot="1">
      <c r="A22" s="314"/>
      <c r="B22" s="199">
        <f>Data!A66</f>
        <v>10.199999999999999</v>
      </c>
      <c r="C22" s="191" t="str">
        <f>Data!B66</f>
        <v>Gantt Charts &amp; Critical Path</v>
      </c>
      <c r="D22" s="185" t="str">
        <f>Data!C66&amp;" 3 Tasks."</f>
        <v>Gantt Chart(s): Properly formatted to clearly define project status details and all information in the Gantt Charts is aligned with the Gate requirements. Task level information clearly indicates an appropriate level of detail. Chart types are properly created as defined in the Project Schedule Guidelines. Critical Path: MS Project able to calculate critical path based on existing tasks and predecessor structure. Clearly defined and shown using the Level 3 chart format. Gantt Charts content should be To gate  3 Tasks.</v>
      </c>
      <c r="E22" s="148" t="s">
        <v>22</v>
      </c>
      <c r="F22" s="149"/>
      <c r="G22" s="149"/>
      <c r="H22" s="149"/>
      <c r="I22" s="149"/>
      <c r="J22" s="149"/>
      <c r="K22" s="149"/>
      <c r="L22" s="149"/>
      <c r="M22" s="149"/>
      <c r="N22" s="149"/>
      <c r="O22" s="149"/>
      <c r="P22" s="149"/>
      <c r="Q22" s="150"/>
      <c r="R22" s="29">
        <f t="shared" si="1"/>
        <v>12</v>
      </c>
      <c r="S22" s="363"/>
      <c r="T22" s="330"/>
    </row>
    <row r="23" spans="1:23" ht="31.8" thickTop="1">
      <c r="A23" s="315" t="s">
        <v>28</v>
      </c>
      <c r="B23" s="200"/>
      <c r="C23" s="152" t="str">
        <f>Data!B7</f>
        <v>Formatting and References</v>
      </c>
      <c r="D23" s="179" t="str">
        <f>Data!C7</f>
        <v>Uses IEEE format to develop the Title Page, Table of Contents, Appendix, and Work Cited sections of this report.</v>
      </c>
      <c r="E23" s="131" t="s">
        <v>22</v>
      </c>
      <c r="F23" s="178"/>
      <c r="G23" s="178"/>
      <c r="H23" s="178"/>
      <c r="I23" s="178"/>
      <c r="J23" s="178"/>
      <c r="K23" s="178"/>
      <c r="L23" s="178"/>
      <c r="M23" s="178"/>
      <c r="N23" s="178"/>
      <c r="O23" s="178"/>
      <c r="P23" s="178"/>
      <c r="Q23" s="154"/>
      <c r="R23" s="28">
        <f t="shared" si="1"/>
        <v>12</v>
      </c>
      <c r="S23" s="362">
        <v>1</v>
      </c>
      <c r="T23" s="329">
        <f>AVERAGE(R23:R25)*S23</f>
        <v>12</v>
      </c>
    </row>
    <row r="24" spans="1:23" ht="46.8">
      <c r="A24" s="316"/>
      <c r="B24" s="201"/>
      <c r="C24" s="156" t="str">
        <f>Data!B8</f>
        <v>Text</v>
      </c>
      <c r="D24" s="202" t="str">
        <f>Data!C8</f>
        <v>Free of spelling and grammatical errors, text flows with contiguous threads, consistent format, use of 3rd person perspective, non-repeating ideas or information.</v>
      </c>
      <c r="E24" s="130" t="s">
        <v>22</v>
      </c>
      <c r="F24" s="134"/>
      <c r="G24" s="134"/>
      <c r="H24" s="134"/>
      <c r="I24" s="134"/>
      <c r="J24" s="134"/>
      <c r="K24" s="134"/>
      <c r="L24" s="134"/>
      <c r="M24" s="134"/>
      <c r="N24" s="134"/>
      <c r="O24" s="134"/>
      <c r="P24" s="134"/>
      <c r="Q24" s="158"/>
      <c r="R24" s="32">
        <f t="shared" si="1"/>
        <v>12</v>
      </c>
      <c r="S24" s="379"/>
      <c r="T24" s="331"/>
    </row>
    <row r="25" spans="1:23" ht="63" thickBot="1">
      <c r="A25" s="314"/>
      <c r="B25" s="203"/>
      <c r="C25" s="146" t="str">
        <f>Data!B9</f>
        <v>Visual Aids</v>
      </c>
      <c r="D25" s="185" t="str">
        <f>Data!C9</f>
        <v>Visual aids (all figures including hand sketches, photos, charts, etc. and tables) are clear and readable and of professional quality.  Graphic aspects labeled and linked to text to transmit critical information, units/scaling clear. Proper IEEE style utilized.</v>
      </c>
      <c r="E25" s="148" t="s">
        <v>22</v>
      </c>
      <c r="F25" s="149"/>
      <c r="G25" s="149"/>
      <c r="H25" s="149"/>
      <c r="I25" s="149"/>
      <c r="J25" s="149"/>
      <c r="K25" s="149"/>
      <c r="L25" s="149"/>
      <c r="M25" s="149"/>
      <c r="N25" s="149"/>
      <c r="O25" s="149"/>
      <c r="P25" s="149"/>
      <c r="Q25" s="150"/>
      <c r="R25" s="29">
        <f t="shared" si="1"/>
        <v>12</v>
      </c>
      <c r="S25" s="363"/>
      <c r="T25" s="330"/>
    </row>
    <row r="26" spans="1:23" ht="15.6" customHeight="1" thickTop="1" thickBot="1">
      <c r="A26" s="315"/>
      <c r="B26" s="199" t="str">
        <f>Data!A77</f>
        <v>A3</v>
      </c>
      <c r="C26" s="199" t="str">
        <f>Data!B77</f>
        <v>Down Selection Process</v>
      </c>
      <c r="D26" s="147" t="str">
        <f>Data!C77</f>
        <v xml:space="preserve">Copy of calculation results for each down selection analysis completed. </v>
      </c>
      <c r="E26" s="131" t="s">
        <v>22</v>
      </c>
      <c r="F26" s="178"/>
      <c r="G26" s="178"/>
      <c r="H26" s="178"/>
      <c r="I26" s="178"/>
      <c r="J26" s="178"/>
      <c r="K26" s="178"/>
      <c r="L26" s="178"/>
      <c r="M26" s="178"/>
      <c r="N26" s="178"/>
      <c r="O26" s="178"/>
      <c r="P26" s="178"/>
      <c r="Q26" s="154"/>
      <c r="R26" s="28">
        <f t="shared" si="1"/>
        <v>12</v>
      </c>
      <c r="S26" s="362">
        <v>0.25</v>
      </c>
      <c r="T26" s="329">
        <f>AVERAGE(R26:R27)*S26</f>
        <v>3</v>
      </c>
    </row>
    <row r="27" spans="1:23" ht="30.9" customHeight="1" thickTop="1" thickBot="1">
      <c r="A27" s="314"/>
      <c r="B27" s="199" t="str">
        <f>Data!A78</f>
        <v>A4</v>
      </c>
      <c r="C27" s="199" t="str">
        <f>Data!B78</f>
        <v>Team Meeting Notes</v>
      </c>
      <c r="D27" s="147" t="str">
        <f>Data!C78</f>
        <v xml:space="preserve">Contains invitees, attendees, agenda, meeting notes, and task assignment with team member responsibilities clearly labeled.  </v>
      </c>
      <c r="E27" s="204" t="s">
        <v>22</v>
      </c>
      <c r="F27" s="205"/>
      <c r="G27" s="205"/>
      <c r="H27" s="205"/>
      <c r="I27" s="205"/>
      <c r="J27" s="205"/>
      <c r="K27" s="205"/>
      <c r="L27" s="205"/>
      <c r="M27" s="205"/>
      <c r="N27" s="205"/>
      <c r="O27" s="205"/>
      <c r="P27" s="205"/>
      <c r="Q27" s="206"/>
      <c r="R27" s="66">
        <f t="shared" si="1"/>
        <v>12</v>
      </c>
      <c r="S27" s="363"/>
      <c r="T27" s="330"/>
    </row>
    <row r="28" spans="1:23" ht="16.2" thickTop="1">
      <c r="A28" s="317" t="s">
        <v>20</v>
      </c>
      <c r="B28" s="320"/>
      <c r="C28" s="321"/>
      <c r="D28" s="321"/>
      <c r="E28" s="321"/>
      <c r="F28" s="321"/>
      <c r="G28" s="321"/>
      <c r="H28" s="321"/>
      <c r="I28" s="321"/>
      <c r="J28" s="321"/>
      <c r="K28" s="321"/>
      <c r="L28" s="321"/>
      <c r="M28" s="321"/>
      <c r="N28" s="321"/>
      <c r="O28" s="321"/>
      <c r="P28" s="321"/>
      <c r="Q28" s="322"/>
      <c r="R28" s="366" t="s">
        <v>30</v>
      </c>
      <c r="S28" s="367"/>
      <c r="T28" s="67">
        <f>SUM(T4:T27)</f>
        <v>96</v>
      </c>
    </row>
    <row r="29" spans="1:23">
      <c r="A29" s="318"/>
      <c r="B29" s="323"/>
      <c r="C29" s="324"/>
      <c r="D29" s="324"/>
      <c r="E29" s="324"/>
      <c r="F29" s="324"/>
      <c r="G29" s="324"/>
      <c r="H29" s="324"/>
      <c r="I29" s="324"/>
      <c r="J29" s="324"/>
      <c r="K29" s="324"/>
      <c r="L29" s="324"/>
      <c r="M29" s="324"/>
      <c r="N29" s="324"/>
      <c r="O29" s="324"/>
      <c r="P29" s="324"/>
      <c r="Q29" s="325"/>
      <c r="R29" s="368" t="s">
        <v>31</v>
      </c>
      <c r="S29" s="369"/>
      <c r="T29" s="68">
        <v>96</v>
      </c>
    </row>
    <row r="30" spans="1:23" ht="16.2" thickBot="1">
      <c r="A30" s="319"/>
      <c r="B30" s="326"/>
      <c r="C30" s="327"/>
      <c r="D30" s="327"/>
      <c r="E30" s="327"/>
      <c r="F30" s="327"/>
      <c r="G30" s="327"/>
      <c r="H30" s="327"/>
      <c r="I30" s="327"/>
      <c r="J30" s="327"/>
      <c r="K30" s="327"/>
      <c r="L30" s="327"/>
      <c r="M30" s="327"/>
      <c r="N30" s="327"/>
      <c r="O30" s="327"/>
      <c r="P30" s="327"/>
      <c r="Q30" s="328"/>
      <c r="R30" s="370" t="s">
        <v>32</v>
      </c>
      <c r="S30" s="371"/>
      <c r="T30" s="69">
        <f>T28/T29</f>
        <v>1</v>
      </c>
    </row>
    <row r="31" spans="1:23" ht="16.2" thickTop="1">
      <c r="A31" s="135"/>
      <c r="B31" s="135"/>
      <c r="C31" s="176"/>
      <c r="D31" s="207"/>
    </row>
    <row r="32" spans="1:23">
      <c r="A32" s="135"/>
      <c r="B32" s="135"/>
      <c r="C32" s="176"/>
      <c r="D32" s="207"/>
    </row>
    <row r="33" spans="1:4">
      <c r="A33" s="135"/>
      <c r="B33" s="135"/>
      <c r="C33" s="176"/>
      <c r="D33" s="207"/>
    </row>
    <row r="34" spans="1:4">
      <c r="A34" s="135"/>
      <c r="B34" s="135"/>
      <c r="C34" s="176"/>
      <c r="D34" s="207"/>
    </row>
    <row r="35" spans="1:4">
      <c r="A35" s="135"/>
      <c r="B35" s="135"/>
      <c r="C35" s="176"/>
      <c r="D35" s="207"/>
    </row>
    <row r="36" spans="1:4">
      <c r="A36" s="135"/>
      <c r="B36" s="135"/>
      <c r="C36" s="176"/>
      <c r="D36" s="207"/>
    </row>
    <row r="37" spans="1:4">
      <c r="A37" s="135"/>
      <c r="B37" s="135"/>
      <c r="C37" s="176"/>
      <c r="D37" s="207"/>
    </row>
    <row r="38" spans="1:4">
      <c r="A38" s="135"/>
      <c r="B38" s="135"/>
      <c r="C38" s="176"/>
      <c r="D38" s="207"/>
    </row>
    <row r="39" spans="1:4">
      <c r="A39" s="135"/>
      <c r="B39" s="135"/>
      <c r="C39" s="176"/>
      <c r="D39" s="207"/>
    </row>
    <row r="40" spans="1:4">
      <c r="A40" s="135"/>
      <c r="B40" s="135"/>
      <c r="C40" s="176"/>
      <c r="D40" s="207"/>
    </row>
    <row r="41" spans="1:4">
      <c r="A41" s="135"/>
      <c r="B41" s="135"/>
      <c r="C41" s="176"/>
      <c r="D41" s="207"/>
    </row>
    <row r="42" spans="1:4">
      <c r="A42" s="135"/>
      <c r="B42" s="135"/>
      <c r="C42" s="176"/>
      <c r="D42" s="207"/>
    </row>
    <row r="43" spans="1:4">
      <c r="A43" s="135"/>
      <c r="B43" s="135"/>
      <c r="C43" s="176"/>
      <c r="D43" s="207"/>
    </row>
    <row r="44" spans="1:4">
      <c r="A44" s="135"/>
      <c r="B44" s="135"/>
      <c r="C44" s="176"/>
      <c r="D44" s="207"/>
    </row>
    <row r="45" spans="1:4">
      <c r="A45" s="135"/>
      <c r="B45" s="135"/>
      <c r="C45" s="176"/>
      <c r="D45" s="207"/>
    </row>
    <row r="46" spans="1:4">
      <c r="A46" s="135"/>
      <c r="B46" s="135"/>
      <c r="C46" s="176"/>
      <c r="D46" s="207"/>
    </row>
    <row r="47" spans="1:4">
      <c r="A47" s="135"/>
      <c r="B47" s="135"/>
      <c r="C47" s="176"/>
      <c r="D47" s="207"/>
    </row>
    <row r="48" spans="1:4">
      <c r="A48" s="135"/>
      <c r="B48" s="135"/>
      <c r="C48" s="176"/>
      <c r="D48" s="207"/>
    </row>
    <row r="49" spans="1:4">
      <c r="A49" s="135"/>
      <c r="B49" s="135"/>
      <c r="C49" s="176"/>
      <c r="D49" s="207"/>
    </row>
    <row r="50" spans="1:4">
      <c r="A50" s="135"/>
      <c r="B50" s="135"/>
      <c r="C50" s="176"/>
      <c r="D50" s="207"/>
    </row>
    <row r="51" spans="1:4">
      <c r="A51" s="135"/>
      <c r="B51" s="135"/>
      <c r="C51" s="176"/>
      <c r="D51" s="207"/>
    </row>
    <row r="52" spans="1:4">
      <c r="A52" s="135"/>
      <c r="B52" s="135"/>
      <c r="C52" s="176"/>
      <c r="D52" s="207"/>
    </row>
    <row r="53" spans="1:4">
      <c r="A53" s="135"/>
      <c r="B53" s="135"/>
      <c r="C53" s="176"/>
      <c r="D53" s="207"/>
    </row>
    <row r="54" spans="1:4">
      <c r="A54" s="135"/>
      <c r="B54" s="135"/>
      <c r="C54" s="176"/>
      <c r="D54" s="207"/>
    </row>
    <row r="55" spans="1:4">
      <c r="A55" s="135"/>
      <c r="B55" s="135"/>
      <c r="C55" s="176"/>
      <c r="D55" s="207"/>
    </row>
    <row r="56" spans="1:4">
      <c r="A56" s="135"/>
      <c r="B56" s="135"/>
      <c r="C56" s="176"/>
      <c r="D56" s="207"/>
    </row>
    <row r="57" spans="1:4">
      <c r="A57" s="135"/>
      <c r="B57" s="135"/>
      <c r="C57" s="176"/>
      <c r="D57" s="207"/>
    </row>
    <row r="58" spans="1:4">
      <c r="A58" s="135"/>
      <c r="B58" s="135"/>
      <c r="C58" s="176"/>
      <c r="D58" s="207"/>
    </row>
    <row r="59" spans="1:4">
      <c r="A59" s="135"/>
      <c r="B59" s="135"/>
      <c r="C59" s="176"/>
      <c r="D59" s="207"/>
    </row>
    <row r="60" spans="1:4">
      <c r="A60" s="135"/>
      <c r="B60" s="135"/>
      <c r="C60" s="176"/>
      <c r="D60" s="207"/>
    </row>
    <row r="61" spans="1:4">
      <c r="A61" s="135"/>
      <c r="B61" s="135"/>
      <c r="C61" s="176"/>
      <c r="D61" s="207"/>
    </row>
    <row r="62" spans="1:4">
      <c r="A62" s="135"/>
      <c r="B62" s="135"/>
      <c r="C62" s="176"/>
      <c r="D62" s="207"/>
    </row>
    <row r="63" spans="1:4">
      <c r="A63" s="135"/>
      <c r="B63" s="135"/>
      <c r="C63" s="176"/>
      <c r="D63" s="207"/>
    </row>
    <row r="64" spans="1:4">
      <c r="A64" s="135"/>
      <c r="B64" s="135"/>
      <c r="C64" s="176"/>
      <c r="D64" s="207"/>
    </row>
    <row r="65" spans="1:4">
      <c r="A65" s="135"/>
      <c r="B65" s="135"/>
      <c r="C65" s="176"/>
      <c r="D65" s="207"/>
    </row>
    <row r="66" spans="1:4">
      <c r="A66" s="135"/>
      <c r="B66" s="135"/>
      <c r="C66" s="176"/>
      <c r="D66" s="207"/>
    </row>
    <row r="67" spans="1:4">
      <c r="A67" s="135"/>
      <c r="B67" s="135"/>
      <c r="C67" s="176"/>
      <c r="D67" s="207"/>
    </row>
    <row r="68" spans="1:4">
      <c r="A68" s="135"/>
      <c r="B68" s="135"/>
      <c r="C68" s="176"/>
      <c r="D68" s="207"/>
    </row>
    <row r="69" spans="1:4">
      <c r="A69" s="135"/>
      <c r="B69" s="135"/>
      <c r="C69" s="176"/>
      <c r="D69" s="207"/>
    </row>
    <row r="70" spans="1:4">
      <c r="A70" s="135"/>
      <c r="B70" s="135"/>
      <c r="C70" s="176"/>
      <c r="D70" s="207"/>
    </row>
    <row r="71" spans="1:4">
      <c r="A71" s="135"/>
      <c r="B71" s="135"/>
      <c r="C71" s="176"/>
      <c r="D71" s="207"/>
    </row>
    <row r="72" spans="1:4">
      <c r="A72" s="135"/>
      <c r="B72" s="135"/>
      <c r="C72" s="176"/>
      <c r="D72" s="207"/>
    </row>
    <row r="73" spans="1:4">
      <c r="A73" s="135"/>
      <c r="B73" s="135"/>
      <c r="C73" s="176"/>
      <c r="D73" s="207"/>
    </row>
    <row r="74" spans="1:4">
      <c r="A74" s="135"/>
      <c r="B74" s="135"/>
      <c r="C74" s="176"/>
      <c r="D74" s="207"/>
    </row>
    <row r="75" spans="1:4">
      <c r="A75" s="135"/>
      <c r="B75" s="135"/>
      <c r="C75" s="176"/>
      <c r="D75" s="207"/>
    </row>
    <row r="76" spans="1:4">
      <c r="A76" s="135"/>
      <c r="B76" s="135"/>
      <c r="C76" s="176"/>
      <c r="D76" s="207"/>
    </row>
    <row r="77" spans="1:4">
      <c r="A77" s="135"/>
      <c r="B77" s="135"/>
      <c r="C77" s="176"/>
      <c r="D77" s="207"/>
    </row>
    <row r="78" spans="1:4">
      <c r="A78" s="135"/>
      <c r="B78" s="135"/>
      <c r="C78" s="176"/>
      <c r="D78" s="207"/>
    </row>
    <row r="79" spans="1:4">
      <c r="A79" s="135"/>
      <c r="B79" s="135"/>
      <c r="C79" s="176"/>
      <c r="D79" s="207"/>
    </row>
    <row r="80" spans="1:4">
      <c r="A80" s="135"/>
      <c r="B80" s="135"/>
      <c r="C80" s="176"/>
      <c r="D80" s="207"/>
    </row>
    <row r="81" spans="1:4">
      <c r="A81" s="135"/>
      <c r="B81" s="135"/>
      <c r="C81" s="176"/>
      <c r="D81" s="207"/>
    </row>
    <row r="82" spans="1:4">
      <c r="A82" s="135"/>
      <c r="B82" s="135"/>
      <c r="C82" s="176"/>
      <c r="D82" s="207"/>
    </row>
    <row r="83" spans="1:4">
      <c r="A83" s="135"/>
      <c r="B83" s="135"/>
      <c r="C83" s="176"/>
      <c r="D83" s="207"/>
    </row>
    <row r="84" spans="1:4">
      <c r="A84" s="135"/>
      <c r="B84" s="135"/>
      <c r="C84" s="176"/>
      <c r="D84" s="207"/>
    </row>
    <row r="85" spans="1:4">
      <c r="A85" s="135"/>
      <c r="B85" s="135"/>
      <c r="C85" s="176"/>
      <c r="D85" s="207"/>
    </row>
    <row r="86" spans="1:4">
      <c r="A86" s="135"/>
      <c r="B86" s="135"/>
      <c r="C86" s="176"/>
      <c r="D86" s="207"/>
    </row>
    <row r="87" spans="1:4">
      <c r="A87" s="135"/>
      <c r="B87" s="135"/>
      <c r="C87" s="176"/>
      <c r="D87" s="207"/>
    </row>
    <row r="88" spans="1:4">
      <c r="A88" s="135"/>
      <c r="B88" s="135"/>
      <c r="C88" s="176"/>
      <c r="D88" s="207"/>
    </row>
    <row r="89" spans="1:4">
      <c r="A89" s="135"/>
      <c r="B89" s="135"/>
      <c r="C89" s="176"/>
      <c r="D89" s="207"/>
    </row>
    <row r="90" spans="1:4">
      <c r="A90" s="135"/>
      <c r="B90" s="135"/>
      <c r="C90" s="176"/>
      <c r="D90" s="207"/>
    </row>
    <row r="91" spans="1:4">
      <c r="A91" s="135"/>
      <c r="B91" s="135"/>
      <c r="C91" s="176"/>
      <c r="D91" s="207"/>
    </row>
    <row r="92" spans="1:4">
      <c r="A92" s="135"/>
      <c r="B92" s="135"/>
      <c r="C92" s="176"/>
      <c r="D92" s="207"/>
    </row>
    <row r="93" spans="1:4">
      <c r="A93" s="135"/>
      <c r="B93" s="135"/>
      <c r="C93" s="176"/>
      <c r="D93" s="207"/>
    </row>
    <row r="94" spans="1:4">
      <c r="A94" s="135"/>
      <c r="B94" s="135"/>
      <c r="C94" s="176"/>
      <c r="D94" s="207"/>
    </row>
    <row r="95" spans="1:4">
      <c r="A95" s="135"/>
      <c r="B95" s="135"/>
      <c r="C95" s="176"/>
      <c r="D95" s="207"/>
    </row>
    <row r="96" spans="1:4">
      <c r="A96" s="135"/>
      <c r="B96" s="135"/>
      <c r="C96" s="176"/>
      <c r="D96" s="207"/>
    </row>
    <row r="97" spans="1:4">
      <c r="A97" s="135"/>
      <c r="B97" s="135"/>
      <c r="C97" s="176"/>
      <c r="D97" s="207"/>
    </row>
    <row r="98" spans="1:4">
      <c r="A98" s="135"/>
      <c r="B98" s="135"/>
      <c r="C98" s="176"/>
      <c r="D98" s="207"/>
    </row>
    <row r="99" spans="1:4">
      <c r="A99" s="135"/>
      <c r="B99" s="135"/>
      <c r="C99" s="176"/>
      <c r="D99" s="207"/>
    </row>
    <row r="100" spans="1:4">
      <c r="A100" s="135"/>
      <c r="B100" s="135"/>
      <c r="C100" s="176"/>
      <c r="D100" s="207"/>
    </row>
    <row r="101" spans="1:4">
      <c r="A101" s="135"/>
      <c r="B101" s="135"/>
      <c r="C101" s="176"/>
      <c r="D101" s="207"/>
    </row>
    <row r="102" spans="1:4">
      <c r="A102" s="135"/>
      <c r="B102" s="135"/>
      <c r="C102" s="176"/>
      <c r="D102" s="207"/>
    </row>
    <row r="103" spans="1:4">
      <c r="A103" s="135"/>
      <c r="B103" s="135"/>
      <c r="C103" s="176"/>
      <c r="D103" s="207"/>
    </row>
    <row r="104" spans="1:4">
      <c r="A104" s="135"/>
      <c r="B104" s="135"/>
      <c r="C104" s="176"/>
      <c r="D104" s="207"/>
    </row>
    <row r="105" spans="1:4">
      <c r="A105" s="135"/>
      <c r="B105" s="135"/>
      <c r="C105" s="176"/>
      <c r="D105" s="207"/>
    </row>
    <row r="106" spans="1:4">
      <c r="A106" s="135"/>
      <c r="B106" s="135"/>
      <c r="C106" s="176"/>
      <c r="D106" s="207"/>
    </row>
    <row r="107" spans="1:4">
      <c r="A107" s="135"/>
      <c r="B107" s="135"/>
      <c r="C107" s="176"/>
      <c r="D107" s="207"/>
    </row>
    <row r="108" spans="1:4">
      <c r="A108" s="135"/>
      <c r="B108" s="135"/>
      <c r="C108" s="176"/>
      <c r="D108" s="207"/>
    </row>
    <row r="109" spans="1:4">
      <c r="A109" s="135"/>
      <c r="B109" s="135"/>
      <c r="C109" s="176"/>
      <c r="D109" s="207"/>
    </row>
    <row r="110" spans="1:4">
      <c r="A110" s="135"/>
      <c r="B110" s="135"/>
      <c r="C110" s="176"/>
      <c r="D110" s="207"/>
    </row>
    <row r="111" spans="1:4">
      <c r="A111" s="135"/>
      <c r="B111" s="135"/>
      <c r="C111" s="176"/>
      <c r="D111" s="207"/>
    </row>
    <row r="112" spans="1:4">
      <c r="A112" s="135"/>
      <c r="B112" s="135"/>
      <c r="C112" s="176"/>
      <c r="D112" s="207"/>
    </row>
    <row r="113" spans="1:4">
      <c r="A113" s="135"/>
      <c r="B113" s="135"/>
      <c r="C113" s="176"/>
      <c r="D113" s="207"/>
    </row>
    <row r="114" spans="1:4">
      <c r="A114" s="135"/>
      <c r="B114" s="135"/>
      <c r="C114" s="176"/>
      <c r="D114" s="207"/>
    </row>
    <row r="115" spans="1:4">
      <c r="A115" s="135"/>
      <c r="B115" s="135"/>
      <c r="C115" s="176"/>
      <c r="D115" s="207"/>
    </row>
    <row r="116" spans="1:4">
      <c r="A116" s="135"/>
      <c r="B116" s="135"/>
      <c r="C116" s="176"/>
      <c r="D116" s="207"/>
    </row>
    <row r="117" spans="1:4">
      <c r="A117" s="135"/>
      <c r="B117" s="135"/>
      <c r="C117" s="176"/>
      <c r="D117" s="207"/>
    </row>
    <row r="118" spans="1:4">
      <c r="A118" s="135"/>
      <c r="B118" s="135"/>
      <c r="C118" s="176"/>
      <c r="D118" s="207"/>
    </row>
    <row r="119" spans="1:4">
      <c r="A119" s="135"/>
      <c r="B119" s="135"/>
      <c r="C119" s="176"/>
      <c r="D119" s="207"/>
    </row>
    <row r="120" spans="1:4">
      <c r="A120" s="135"/>
      <c r="B120" s="135"/>
      <c r="C120" s="176"/>
      <c r="D120" s="207"/>
    </row>
    <row r="121" spans="1:4">
      <c r="A121" s="135"/>
      <c r="B121" s="135"/>
      <c r="C121" s="176"/>
      <c r="D121" s="207"/>
    </row>
    <row r="122" spans="1:4">
      <c r="A122" s="135"/>
      <c r="B122" s="135"/>
      <c r="C122" s="176"/>
      <c r="D122" s="207"/>
    </row>
    <row r="123" spans="1:4">
      <c r="A123" s="135"/>
      <c r="B123" s="135"/>
      <c r="C123" s="176"/>
      <c r="D123" s="207"/>
    </row>
    <row r="124" spans="1:4">
      <c r="A124" s="135"/>
      <c r="B124" s="135"/>
      <c r="C124" s="176"/>
      <c r="D124" s="207"/>
    </row>
    <row r="125" spans="1:4">
      <c r="A125" s="135"/>
      <c r="B125" s="135"/>
      <c r="C125" s="176"/>
      <c r="D125" s="207"/>
    </row>
    <row r="126" spans="1:4">
      <c r="A126" s="135"/>
      <c r="B126" s="135"/>
      <c r="C126" s="176"/>
      <c r="D126" s="207"/>
    </row>
    <row r="127" spans="1:4">
      <c r="A127" s="135"/>
      <c r="B127" s="135"/>
      <c r="C127" s="176"/>
      <c r="D127" s="207"/>
    </row>
    <row r="128" spans="1:4">
      <c r="A128" s="135"/>
      <c r="B128" s="135"/>
      <c r="C128" s="176"/>
      <c r="D128" s="207"/>
    </row>
    <row r="129" spans="1:4">
      <c r="A129" s="135"/>
      <c r="B129" s="135"/>
      <c r="C129" s="176"/>
      <c r="D129" s="207"/>
    </row>
    <row r="130" spans="1:4">
      <c r="A130" s="135"/>
      <c r="B130" s="135"/>
      <c r="C130" s="176"/>
      <c r="D130" s="207"/>
    </row>
    <row r="131" spans="1:4">
      <c r="A131" s="135"/>
      <c r="B131" s="135"/>
      <c r="C131" s="176"/>
      <c r="D131" s="207"/>
    </row>
    <row r="132" spans="1:4">
      <c r="A132" s="135"/>
      <c r="B132" s="135"/>
      <c r="C132" s="176"/>
      <c r="D132" s="207"/>
    </row>
    <row r="133" spans="1:4">
      <c r="A133" s="135"/>
      <c r="B133" s="135"/>
      <c r="C133" s="176"/>
      <c r="D133" s="207"/>
    </row>
    <row r="134" spans="1:4">
      <c r="A134" s="135"/>
      <c r="B134" s="135"/>
      <c r="C134" s="176"/>
      <c r="D134" s="207"/>
    </row>
    <row r="135" spans="1:4">
      <c r="A135" s="135"/>
      <c r="B135" s="135"/>
      <c r="C135" s="176"/>
      <c r="D135" s="207"/>
    </row>
    <row r="136" spans="1:4">
      <c r="A136" s="135"/>
      <c r="B136" s="135"/>
      <c r="C136" s="176"/>
      <c r="D136" s="207"/>
    </row>
    <row r="137" spans="1:4">
      <c r="A137" s="135"/>
      <c r="B137" s="135"/>
      <c r="C137" s="176"/>
      <c r="D137" s="207"/>
    </row>
    <row r="138" spans="1:4">
      <c r="A138" s="135"/>
      <c r="B138" s="135"/>
      <c r="C138" s="176"/>
      <c r="D138" s="207"/>
    </row>
    <row r="139" spans="1:4">
      <c r="A139" s="135"/>
      <c r="B139" s="135"/>
      <c r="C139" s="176"/>
      <c r="D139" s="207"/>
    </row>
    <row r="140" spans="1:4">
      <c r="A140" s="135"/>
      <c r="B140" s="135"/>
      <c r="C140" s="176"/>
      <c r="D140" s="207"/>
    </row>
    <row r="141" spans="1:4">
      <c r="A141" s="135"/>
      <c r="B141" s="135"/>
      <c r="C141" s="176"/>
      <c r="D141" s="207"/>
    </row>
    <row r="142" spans="1:4">
      <c r="A142" s="135"/>
      <c r="B142" s="135"/>
      <c r="D142" s="207"/>
    </row>
    <row r="143" spans="1:4">
      <c r="A143" s="135"/>
      <c r="B143" s="135"/>
      <c r="D143" s="207"/>
    </row>
    <row r="144" spans="1:4">
      <c r="A144" s="135"/>
      <c r="B144" s="135"/>
      <c r="D144" s="207"/>
    </row>
    <row r="145" spans="1:4">
      <c r="A145" s="135"/>
      <c r="B145" s="135"/>
      <c r="D145" s="207"/>
    </row>
    <row r="146" spans="1:4">
      <c r="A146" s="135"/>
      <c r="B146" s="135"/>
      <c r="D146" s="207"/>
    </row>
    <row r="147" spans="1:4">
      <c r="A147" s="135"/>
      <c r="B147" s="135"/>
      <c r="D147" s="207"/>
    </row>
    <row r="148" spans="1:4">
      <c r="A148" s="135"/>
      <c r="B148" s="135"/>
      <c r="D148" s="207"/>
    </row>
    <row r="149" spans="1:4">
      <c r="A149" s="135"/>
      <c r="B149" s="135"/>
      <c r="D149" s="207"/>
    </row>
    <row r="150" spans="1:4">
      <c r="B150" s="135"/>
    </row>
    <row r="151" spans="1:4">
      <c r="B151" s="135"/>
    </row>
    <row r="152" spans="1:4">
      <c r="B152" s="135"/>
    </row>
    <row r="153" spans="1:4">
      <c r="B153" s="135"/>
    </row>
    <row r="154" spans="1:4">
      <c r="B154" s="135"/>
    </row>
    <row r="155" spans="1:4">
      <c r="B155" s="135"/>
    </row>
    <row r="156" spans="1:4">
      <c r="B156" s="135"/>
    </row>
    <row r="157" spans="1:4">
      <c r="B157" s="135"/>
    </row>
    <row r="158" spans="1:4">
      <c r="B158" s="135"/>
    </row>
    <row r="159" spans="1:4">
      <c r="B159" s="135"/>
    </row>
    <row r="160" spans="1:4">
      <c r="B160" s="135"/>
    </row>
    <row r="161" spans="2:2">
      <c r="B161" s="135"/>
    </row>
    <row r="162" spans="2:2">
      <c r="B162" s="135"/>
    </row>
    <row r="163" spans="2:2">
      <c r="B163" s="135"/>
    </row>
  </sheetData>
  <mergeCells count="35">
    <mergeCell ref="A26:A27"/>
    <mergeCell ref="S4:S9"/>
    <mergeCell ref="U5:Z5"/>
    <mergeCell ref="U7:Z7"/>
    <mergeCell ref="U11:Y11"/>
    <mergeCell ref="U14:Y14"/>
    <mergeCell ref="D4:D9"/>
    <mergeCell ref="S23:S25"/>
    <mergeCell ref="S12:S14"/>
    <mergeCell ref="S15:S17"/>
    <mergeCell ref="T15:T17"/>
    <mergeCell ref="S18:S20"/>
    <mergeCell ref="T18:T20"/>
    <mergeCell ref="U17:W17"/>
    <mergeCell ref="A28:A30"/>
    <mergeCell ref="R30:S30"/>
    <mergeCell ref="T21:T22"/>
    <mergeCell ref="A2:T2"/>
    <mergeCell ref="S26:S27"/>
    <mergeCell ref="T26:T27"/>
    <mergeCell ref="A23:A25"/>
    <mergeCell ref="A4:A9"/>
    <mergeCell ref="A10:A11"/>
    <mergeCell ref="A15:A20"/>
    <mergeCell ref="A21:A22"/>
    <mergeCell ref="A12:A14"/>
    <mergeCell ref="T23:T25"/>
    <mergeCell ref="T4:T9"/>
    <mergeCell ref="T10:T11"/>
    <mergeCell ref="T12:T14"/>
    <mergeCell ref="B28:Q30"/>
    <mergeCell ref="S21:S22"/>
    <mergeCell ref="S10:S11"/>
    <mergeCell ref="R28:S28"/>
    <mergeCell ref="R29:S29"/>
  </mergeCells>
  <printOptions horizontalCentered="1"/>
  <pageMargins left="0.25" right="0.25" top="0.75" bottom="0.75" header="0.3" footer="0.3"/>
  <pageSetup scale="61"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8081D-D4C8-C54D-B714-903B8F2E1C42}">
  <sheetPr>
    <tabColor theme="5" tint="0.79998168889431442"/>
    <pageSetUpPr fitToPage="1"/>
  </sheetPr>
  <dimension ref="A1:T154"/>
  <sheetViews>
    <sheetView zoomScale="120" zoomScaleNormal="120" workbookViewId="0">
      <pane xSplit="1" ySplit="3" topLeftCell="B21" activePane="bottomRight" state="frozen"/>
      <selection pane="topRight"/>
      <selection pane="bottomLeft"/>
      <selection pane="bottomRight" activeCell="A24" sqref="A24:A26"/>
    </sheetView>
  </sheetViews>
  <sheetFormatPr defaultColWidth="8.6640625" defaultRowHeight="15.6"/>
  <cols>
    <col min="1" max="1" width="15" bestFit="1" customWidth="1"/>
    <col min="2" max="2" width="6.6640625" style="5" customWidth="1"/>
    <col min="3" max="3" width="25.6640625" style="9" bestFit="1" customWidth="1"/>
    <col min="4" max="4" width="71.6640625" style="4" customWidth="1"/>
    <col min="5" max="5" width="12.33203125" style="1" bestFit="1" customWidth="1"/>
    <col min="6" max="7" width="4.6640625" customWidth="1"/>
    <col min="8" max="16" width="3.44140625" bestFit="1" customWidth="1"/>
    <col min="17" max="17" width="8.6640625" bestFit="1" customWidth="1"/>
    <col min="18" max="18" width="12" bestFit="1" customWidth="1"/>
    <col min="19" max="19" width="12" customWidth="1"/>
    <col min="20" max="20" width="6.109375" customWidth="1"/>
    <col min="21" max="21" width="83.33203125" customWidth="1"/>
    <col min="22" max="22" width="44.33203125" customWidth="1"/>
  </cols>
  <sheetData>
    <row r="1" spans="1:20" ht="16.2" thickBot="1">
      <c r="C1" s="135"/>
    </row>
    <row r="2" spans="1:20" ht="34.5" customHeight="1" thickTop="1" thickBot="1">
      <c r="A2" s="384" t="s">
        <v>45</v>
      </c>
      <c r="B2" s="339"/>
      <c r="C2" s="339"/>
      <c r="D2" s="339"/>
      <c r="E2" s="339"/>
      <c r="F2" s="385"/>
      <c r="G2" s="385"/>
      <c r="H2" s="385"/>
      <c r="I2" s="385"/>
      <c r="J2" s="385"/>
      <c r="K2" s="385"/>
      <c r="L2" s="385"/>
      <c r="M2" s="385"/>
      <c r="N2" s="385"/>
      <c r="O2" s="385"/>
      <c r="P2" s="385"/>
      <c r="Q2" s="385"/>
      <c r="R2" s="385"/>
      <c r="S2" s="386"/>
      <c r="T2" s="387"/>
    </row>
    <row r="3" spans="1:20" ht="63.6" thickTop="1" thickBot="1">
      <c r="A3" s="167" t="s">
        <v>34</v>
      </c>
      <c r="B3" s="43" t="s">
        <v>35</v>
      </c>
      <c r="C3" s="43" t="s">
        <v>3</v>
      </c>
      <c r="D3" s="43" t="s">
        <v>36</v>
      </c>
      <c r="E3" s="45" t="s">
        <v>5</v>
      </c>
      <c r="F3" s="46" t="s">
        <v>6</v>
      </c>
      <c r="G3" s="46" t="s">
        <v>7</v>
      </c>
      <c r="H3" s="46" t="s">
        <v>8</v>
      </c>
      <c r="I3" s="46" t="s">
        <v>9</v>
      </c>
      <c r="J3" s="46" t="s">
        <v>10</v>
      </c>
      <c r="K3" s="46" t="s">
        <v>11</v>
      </c>
      <c r="L3" s="46" t="s">
        <v>12</v>
      </c>
      <c r="M3" s="46" t="s">
        <v>13</v>
      </c>
      <c r="N3" s="46" t="s">
        <v>14</v>
      </c>
      <c r="O3" s="46" t="s">
        <v>15</v>
      </c>
      <c r="P3" s="46" t="s">
        <v>16</v>
      </c>
      <c r="Q3" s="47" t="s">
        <v>17</v>
      </c>
      <c r="R3" s="45" t="s">
        <v>18</v>
      </c>
      <c r="S3" s="124" t="s">
        <v>42</v>
      </c>
      <c r="T3" s="47" t="s">
        <v>19</v>
      </c>
    </row>
    <row r="4" spans="1:20" ht="47.4" thickTop="1">
      <c r="A4" s="315" t="s">
        <v>37</v>
      </c>
      <c r="B4" s="151"/>
      <c r="C4" s="152" t="str">
        <f>Data!B10</f>
        <v>Introduction</v>
      </c>
      <c r="D4" s="179" t="str">
        <f>Data!C10</f>
        <v xml:space="preserve">Presentation Title (closely matches project name), Outline (follows Rubric), Team Members (photo, name, academic major, team role) Concise overview of project. </v>
      </c>
      <c r="E4" s="131" t="s">
        <v>22</v>
      </c>
      <c r="F4" s="153"/>
      <c r="G4" s="153"/>
      <c r="H4" s="153"/>
      <c r="I4" s="153"/>
      <c r="J4" s="153"/>
      <c r="K4" s="153"/>
      <c r="L4" s="153"/>
      <c r="M4" s="153"/>
      <c r="N4" s="153"/>
      <c r="O4" s="153"/>
      <c r="P4" s="153"/>
      <c r="Q4" s="154"/>
      <c r="R4" s="131">
        <f>IF(E4="x",12,IF(F4="x",11,IF(G4="x",10,IF(H4="x",9,IF(I4="x",8,IF(J4="x",7,IF(K4="x",6,IF(L4="x",5,IF(M4="x",4,IF(N4="x",3,IF(O4="x",2,IF(P4="x",1,IF(Q4="x",0,"")))))))))))))</f>
        <v>12</v>
      </c>
      <c r="S4" s="390">
        <v>1</v>
      </c>
      <c r="T4" s="329">
        <f>AVERAGE(R4:R7)</f>
        <v>12</v>
      </c>
    </row>
    <row r="5" spans="1:20" ht="63" customHeight="1">
      <c r="A5" s="316"/>
      <c r="B5" s="155"/>
      <c r="C5" s="156" t="str">
        <f>Data!B12</f>
        <v>Audio / Visual Quality of Presentation</v>
      </c>
      <c r="D5" s="202" t="str">
        <f>Data!C12</f>
        <v xml:space="preserve">Figures and tables in engineering format, free of spelling and grammatical errors, data presented is well-organized and defined in tabular or graphical form. Annotations are used to describe key points of photos and graphics. All slides are labeled with page numbers and consistent formatting between slides. Audio quality good no background noise or distractions. </v>
      </c>
      <c r="E5" s="130" t="s">
        <v>22</v>
      </c>
      <c r="F5" s="157"/>
      <c r="G5" s="157"/>
      <c r="H5" s="157"/>
      <c r="I5" s="157"/>
      <c r="J5" s="157"/>
      <c r="K5" s="157"/>
      <c r="L5" s="157"/>
      <c r="M5" s="157"/>
      <c r="N5" s="157"/>
      <c r="O5" s="157"/>
      <c r="P5" s="157"/>
      <c r="Q5" s="158"/>
      <c r="R5" s="130">
        <f>IF(E5="x",12,IF(F5="x",11,IF(G5="x",10,IF(H5="x",9,IF(I5="x",8,IF(J5="x",7,IF(K5="x",6,IF(L5="x",5,IF(M5="x",4,IF(N5="x",3,IF(O5="x",2,IF(P5="x",1,IF(Q5="x",0,"")))))))))))))</f>
        <v>12</v>
      </c>
      <c r="S5" s="391"/>
      <c r="T5" s="331"/>
    </row>
    <row r="6" spans="1:20" ht="31.2">
      <c r="A6" s="316"/>
      <c r="B6" s="155"/>
      <c r="C6" s="156" t="str">
        <f>Data!B13</f>
        <v>References</v>
      </c>
      <c r="D6" s="202" t="str">
        <f>Data!C13</f>
        <v>References (in-text and bibliography) properly cited in IEEE style. Proper use of the Zotero citation management tool</v>
      </c>
      <c r="E6" s="130" t="s">
        <v>22</v>
      </c>
      <c r="F6" s="157"/>
      <c r="G6" s="157"/>
      <c r="H6" s="157"/>
      <c r="I6" s="157"/>
      <c r="J6" s="157"/>
      <c r="K6" s="157"/>
      <c r="L6" s="157"/>
      <c r="M6" s="157"/>
      <c r="N6" s="157"/>
      <c r="O6" s="157"/>
      <c r="P6" s="157"/>
      <c r="Q6" s="158"/>
      <c r="R6" s="130">
        <f t="shared" ref="R6:R29" si="0">IF(E6="x",12,IF(F6="x",11,IF(G6="x",10,IF(H6="x",9,IF(I6="x",8,IF(J6="x",7,IF(K6="x",6,IF(L6="x",5,IF(M6="x",4,IF(N6="x",3,IF(O6="x",2,IF(P6="x",1,IF(Q6="x",0,"")))))))))))))</f>
        <v>12</v>
      </c>
      <c r="S6" s="391"/>
      <c r="T6" s="331"/>
    </row>
    <row r="7" spans="1:20" ht="31.5" customHeight="1" thickBot="1">
      <c r="A7" s="314"/>
      <c r="B7" s="145"/>
      <c r="C7" s="146" t="str">
        <f>Data!B11</f>
        <v>Oral Presentation Skill</v>
      </c>
      <c r="D7" s="185" t="str">
        <f>Data!C11</f>
        <v>Clear enunciation when discussing engineering design. All members are participating. Smooth transitions between topics and presenters.</v>
      </c>
      <c r="E7" s="148" t="s">
        <v>22</v>
      </c>
      <c r="F7" s="159"/>
      <c r="G7" s="159"/>
      <c r="H7" s="159"/>
      <c r="I7" s="159"/>
      <c r="J7" s="159"/>
      <c r="K7" s="159"/>
      <c r="L7" s="159"/>
      <c r="M7" s="159"/>
      <c r="N7" s="159"/>
      <c r="O7" s="159"/>
      <c r="P7" s="159"/>
      <c r="Q7" s="150"/>
      <c r="R7" s="148">
        <f t="shared" si="0"/>
        <v>12</v>
      </c>
      <c r="S7" s="392"/>
      <c r="T7" s="330"/>
    </row>
    <row r="8" spans="1:20" ht="31.5" customHeight="1" thickTop="1" thickBot="1">
      <c r="A8" s="136" t="s">
        <v>20</v>
      </c>
      <c r="B8" s="388"/>
      <c r="C8" s="346"/>
      <c r="D8" s="346"/>
      <c r="E8" s="346"/>
      <c r="F8" s="346"/>
      <c r="G8" s="346"/>
      <c r="H8" s="346"/>
      <c r="I8" s="346"/>
      <c r="J8" s="346"/>
      <c r="K8" s="346"/>
      <c r="L8" s="346"/>
      <c r="M8" s="346"/>
      <c r="N8" s="346"/>
      <c r="O8" s="346"/>
      <c r="P8" s="346"/>
      <c r="Q8" s="346"/>
      <c r="R8" s="346"/>
      <c r="S8" s="389"/>
      <c r="T8" s="347"/>
    </row>
    <row r="9" spans="1:20" ht="31.5" customHeight="1" thickTop="1">
      <c r="A9" s="315" t="s">
        <v>46</v>
      </c>
      <c r="B9" s="70">
        <f>Data!A23</f>
        <v>1.1000000000000001</v>
      </c>
      <c r="C9" s="71" t="str">
        <f>Data!B23</f>
        <v>Problem Description</v>
      </c>
      <c r="D9" s="72" t="str">
        <f>Data!C23</f>
        <v>Includes context to the problem, reason for the problem, need for this project, defines who is impacted by the problem (customer / market) and how.</v>
      </c>
      <c r="E9" s="28" t="s">
        <v>22</v>
      </c>
      <c r="F9" s="50"/>
      <c r="G9" s="50"/>
      <c r="H9" s="50"/>
      <c r="I9" s="50"/>
      <c r="J9" s="50"/>
      <c r="K9" s="50"/>
      <c r="L9" s="50"/>
      <c r="M9" s="50"/>
      <c r="N9" s="50"/>
      <c r="O9" s="50"/>
      <c r="P9" s="50"/>
      <c r="Q9" s="51"/>
      <c r="R9" s="28">
        <f t="shared" si="0"/>
        <v>12</v>
      </c>
      <c r="S9" s="393">
        <v>1</v>
      </c>
      <c r="T9" s="354">
        <f>AVERAGE(R9:R12)</f>
        <v>12</v>
      </c>
    </row>
    <row r="10" spans="1:20" ht="46.8">
      <c r="A10" s="316"/>
      <c r="B10" s="55">
        <f>Data!A24</f>
        <v>1.2</v>
      </c>
      <c r="C10" s="57" t="str">
        <f>Data!B24</f>
        <v>Problem Statement</v>
      </c>
      <c r="D10" s="73" t="str">
        <f>Data!C24</f>
        <v>Describes the problem in technical detail and Quantifies the impact on the customer/market. Introduce critical performance metrics. Defines the end-user population (e.g., person, environment, or organization).</v>
      </c>
      <c r="E10" s="32" t="s">
        <v>22</v>
      </c>
      <c r="F10" s="10"/>
      <c r="G10" s="10"/>
      <c r="H10" s="10"/>
      <c r="I10" s="10"/>
      <c r="J10" s="10"/>
      <c r="K10" s="10"/>
      <c r="L10" s="10"/>
      <c r="M10" s="10"/>
      <c r="N10" s="10"/>
      <c r="O10" s="10"/>
      <c r="P10" s="10"/>
      <c r="Q10" s="52"/>
      <c r="R10" s="32">
        <f t="shared" si="0"/>
        <v>12</v>
      </c>
      <c r="S10" s="394"/>
      <c r="T10" s="360"/>
    </row>
    <row r="11" spans="1:20" ht="46.8">
      <c r="A11" s="316"/>
      <c r="B11" s="55">
        <f>Data!A25</f>
        <v>1.3</v>
      </c>
      <c r="C11" s="57" t="str">
        <f>Data!B25</f>
        <v>Scope of Work</v>
      </c>
      <c r="D11" s="73" t="str">
        <f>Data!C25</f>
        <v xml:space="preserve">Describes the approach to solve this problem, the projected timeline plan, and the assumptions, limitations, and constraints of the project.  Describes the services and/or materials to be obtained from the client.  </v>
      </c>
      <c r="E11" s="32" t="s">
        <v>22</v>
      </c>
      <c r="F11" s="10"/>
      <c r="G11" s="10"/>
      <c r="H11" s="10"/>
      <c r="I11" s="10"/>
      <c r="J11" s="10"/>
      <c r="K11" s="10"/>
      <c r="L11" s="10"/>
      <c r="M11" s="10"/>
      <c r="N11" s="10"/>
      <c r="O11" s="10"/>
      <c r="P11" s="10"/>
      <c r="Q11" s="52"/>
      <c r="R11" s="32">
        <f t="shared" si="0"/>
        <v>12</v>
      </c>
      <c r="S11" s="394"/>
      <c r="T11" s="360"/>
    </row>
    <row r="12" spans="1:20" ht="94.2" thickBot="1">
      <c r="A12" s="314"/>
      <c r="B12" s="56">
        <f>Data!A38</f>
        <v>5.0999999999999996</v>
      </c>
      <c r="C12" s="58" t="str">
        <f>Data!B38</f>
        <v>System Decomposition</v>
      </c>
      <c r="D12" s="75" t="str">
        <f>Data!C38</f>
        <v xml:space="preserve">Decompose the complexity of the system/problem by describing its constituent components. Break down the complex system/problem into smaller, more manageable parts by building a hierarchical representation of critical subsystems. Depending on the system, you may consider developing a functional decomposition, assembly decomposition, or service-based decomposition.  </v>
      </c>
      <c r="E12" s="29" t="s">
        <v>22</v>
      </c>
      <c r="F12" s="53"/>
      <c r="G12" s="53"/>
      <c r="H12" s="53"/>
      <c r="I12" s="53"/>
      <c r="J12" s="53"/>
      <c r="K12" s="53"/>
      <c r="L12" s="53"/>
      <c r="M12" s="53"/>
      <c r="N12" s="53"/>
      <c r="O12" s="53"/>
      <c r="P12" s="53"/>
      <c r="Q12" s="54"/>
      <c r="R12" s="29">
        <f t="shared" si="0"/>
        <v>12</v>
      </c>
      <c r="S12" s="395"/>
      <c r="T12" s="355"/>
    </row>
    <row r="13" spans="1:20" ht="31.5" customHeight="1" thickTop="1" thickBot="1">
      <c r="A13" s="136" t="s">
        <v>20</v>
      </c>
      <c r="B13" s="408"/>
      <c r="C13" s="349"/>
      <c r="D13" s="349"/>
      <c r="E13" s="349"/>
      <c r="F13" s="349"/>
      <c r="G13" s="349"/>
      <c r="H13" s="349"/>
      <c r="I13" s="349"/>
      <c r="J13" s="349"/>
      <c r="K13" s="349"/>
      <c r="L13" s="349"/>
      <c r="M13" s="349"/>
      <c r="N13" s="349"/>
      <c r="O13" s="349"/>
      <c r="P13" s="349"/>
      <c r="Q13" s="349"/>
      <c r="R13" s="349"/>
      <c r="S13" s="409"/>
      <c r="T13" s="350"/>
    </row>
    <row r="14" spans="1:20" ht="31.8" thickTop="1">
      <c r="A14" s="356" t="s">
        <v>38</v>
      </c>
      <c r="B14" s="209">
        <f>Data!A41</f>
        <v>5.4</v>
      </c>
      <c r="C14" s="209" t="str">
        <f>Data!B41</f>
        <v xml:space="preserve">Final Design Description </v>
      </c>
      <c r="D14" s="210" t="str">
        <f>Data!C41</f>
        <v xml:space="preserve">Describes all aspects of the final design and how it meets the client's requirements. </v>
      </c>
      <c r="E14" s="211" t="s">
        <v>22</v>
      </c>
      <c r="F14" s="212"/>
      <c r="G14" s="212"/>
      <c r="H14" s="212"/>
      <c r="I14" s="212"/>
      <c r="J14" s="212"/>
      <c r="K14" s="212"/>
      <c r="L14" s="212"/>
      <c r="M14" s="212"/>
      <c r="N14" s="212"/>
      <c r="O14" s="212"/>
      <c r="P14" s="212"/>
      <c r="Q14" s="213"/>
      <c r="R14" s="214">
        <f>IF(E14="x",12,IF(F14="x",11,IF(G14="x",10,IF(H14="x",9,IF(I14="x",8,IF(J14="x",7,IF(K14="x",6,IF(L14="x",5,IF(M14="x",4,IF(N14="x",3,IF(O14="x",2,IF(P14="x",1,IF(Q14="x",0,"")))))))))))))</f>
        <v>12</v>
      </c>
      <c r="S14" s="396">
        <v>2</v>
      </c>
      <c r="T14" s="414">
        <f>S14*AVERAGE(R14:R17)</f>
        <v>24</v>
      </c>
    </row>
    <row r="15" spans="1:20" ht="46.8">
      <c r="A15" s="357"/>
      <c r="B15" s="215">
        <f>Data!A42</f>
        <v>5.5</v>
      </c>
      <c r="C15" s="215" t="str">
        <f>Data!B42</f>
        <v xml:space="preserve">Design Calculations &amp; Analysis Results </v>
      </c>
      <c r="D15" s="216" t="str">
        <f>Data!C42</f>
        <v>Provide and describe the analytical models used to support the design. (FEA, Electrical simulations, Mechanical analysis) Provide and describe the experiments and measurements that support the design.</v>
      </c>
      <c r="E15" s="217" t="s">
        <v>22</v>
      </c>
      <c r="F15" s="157"/>
      <c r="G15" s="157"/>
      <c r="H15" s="157"/>
      <c r="I15" s="157"/>
      <c r="J15" s="157"/>
      <c r="K15" s="157"/>
      <c r="L15" s="157"/>
      <c r="M15" s="157"/>
      <c r="N15" s="157"/>
      <c r="O15" s="157"/>
      <c r="P15" s="157"/>
      <c r="Q15" s="218"/>
      <c r="R15" s="219">
        <f>IF(E15="x",12,IF(F15="x",11,IF(G15="x",10,IF(H15="x",9,IF(I15="x",8,IF(J15="x",7,IF(K15="x",6,IF(L15="x",5,IF(M15="x",4,IF(N15="x",3,IF(O15="x",2,IF(P15="x",1,IF(Q15="x",0,"")))))))))))))</f>
        <v>12</v>
      </c>
      <c r="S15" s="391"/>
      <c r="T15" s="415"/>
    </row>
    <row r="16" spans="1:20" ht="31.2">
      <c r="A16" s="357"/>
      <c r="B16" s="215">
        <f>Data!A43</f>
        <v>5.6</v>
      </c>
      <c r="C16" s="215" t="str">
        <f>Data!B43</f>
        <v>Mathematical Modeling (Lit review)</v>
      </c>
      <c r="D16" s="216" t="str">
        <f>Data!C43</f>
        <v xml:space="preserve">Define all analytical approaches to be used to support confirmation that your system design will meet the client requirements.  </v>
      </c>
      <c r="E16" s="217" t="s">
        <v>22</v>
      </c>
      <c r="F16" s="157"/>
      <c r="G16" s="157"/>
      <c r="H16" s="157"/>
      <c r="I16" s="157"/>
      <c r="J16" s="157"/>
      <c r="K16" s="157"/>
      <c r="L16" s="157"/>
      <c r="M16" s="157"/>
      <c r="N16" s="157"/>
      <c r="O16" s="157"/>
      <c r="P16" s="157"/>
      <c r="Q16" s="218"/>
      <c r="R16" s="220">
        <f t="shared" ref="R16" si="1">IF(E16="x",12,IF(F16="x",11,IF(G16="x",10,IF(H16="x",9,IF(I16="x",8,IF(J16="x",7,IF(K16="x",6,IF(L16="x",5,IF(M16="x",4,IF(N16="x",3,IF(O16="x",2,IF(P16="x",1,IF(Q16="x",0,"")))))))))))))</f>
        <v>12</v>
      </c>
      <c r="S16" s="391"/>
      <c r="T16" s="415"/>
    </row>
    <row r="17" spans="1:20" ht="31.5" customHeight="1" thickBot="1">
      <c r="A17" s="358"/>
      <c r="B17" s="221">
        <f>Data!A44</f>
        <v>5.7</v>
      </c>
      <c r="C17" s="221" t="str">
        <f>Data!B44</f>
        <v>Critical Issues &amp; Risk Mitigation</v>
      </c>
      <c r="D17" s="222" t="str">
        <f>Data!C44</f>
        <v xml:space="preserve">Explains critical issues that have arisen. Translates critical issues into sequential action items. Explains the affect(s) on the critical path and schedule. </v>
      </c>
      <c r="E17" s="223" t="s">
        <v>22</v>
      </c>
      <c r="F17" s="224"/>
      <c r="G17" s="224"/>
      <c r="H17" s="224"/>
      <c r="I17" s="224"/>
      <c r="J17" s="224"/>
      <c r="K17" s="224"/>
      <c r="L17" s="224"/>
      <c r="M17" s="224"/>
      <c r="N17" s="224"/>
      <c r="O17" s="224"/>
      <c r="P17" s="224"/>
      <c r="Q17" s="225"/>
      <c r="R17" s="226">
        <f t="shared" si="0"/>
        <v>12</v>
      </c>
      <c r="S17" s="397"/>
      <c r="T17" s="416"/>
    </row>
    <row r="18" spans="1:20" ht="31.5" customHeight="1" thickTop="1" thickBot="1">
      <c r="A18" s="227" t="s">
        <v>20</v>
      </c>
      <c r="B18" s="410"/>
      <c r="C18" s="411"/>
      <c r="D18" s="411"/>
      <c r="E18" s="411"/>
      <c r="F18" s="411"/>
      <c r="G18" s="411"/>
      <c r="H18" s="411"/>
      <c r="I18" s="411"/>
      <c r="J18" s="411"/>
      <c r="K18" s="411"/>
      <c r="L18" s="411"/>
      <c r="M18" s="411"/>
      <c r="N18" s="411"/>
      <c r="O18" s="411"/>
      <c r="P18" s="411"/>
      <c r="Q18" s="411"/>
      <c r="R18" s="411"/>
      <c r="S18" s="412"/>
      <c r="T18" s="413"/>
    </row>
    <row r="19" spans="1:20" ht="63.6" thickTop="1" thickBot="1">
      <c r="A19" s="315" t="s">
        <v>47</v>
      </c>
      <c r="B19" s="168">
        <f>Data!A46</f>
        <v>6.1</v>
      </c>
      <c r="C19" s="169" t="str">
        <f>Data!B46</f>
        <v>Mechanical Design</v>
      </c>
      <c r="D19" s="228" t="str">
        <f>Data!C46</f>
        <v>Provides a mechanical description for the project design with sufficient detail for fabrication/manufacturing/assembly. The descriptions include tolerances, part numbering, and material specifications. Provides a manufacturing plan for each part.</v>
      </c>
      <c r="E19" s="131" t="s">
        <v>22</v>
      </c>
      <c r="F19" s="153"/>
      <c r="G19" s="153"/>
      <c r="H19" s="153"/>
      <c r="I19" s="153"/>
      <c r="J19" s="153"/>
      <c r="K19" s="153"/>
      <c r="L19" s="153"/>
      <c r="M19" s="153"/>
      <c r="N19" s="208"/>
      <c r="O19" s="153"/>
      <c r="P19" s="153"/>
      <c r="Q19" s="154"/>
      <c r="R19" s="131">
        <f t="shared" si="0"/>
        <v>12</v>
      </c>
      <c r="S19" s="390">
        <v>2</v>
      </c>
      <c r="T19" s="329">
        <f>S19*AVERAGE(R19:R22)</f>
        <v>24</v>
      </c>
    </row>
    <row r="20" spans="1:20" ht="79.2" thickTop="1" thickBot="1">
      <c r="A20" s="316"/>
      <c r="B20" s="229">
        <f>Data!A47</f>
        <v>6.2</v>
      </c>
      <c r="C20" s="230" t="str">
        <f>Data!B47</f>
        <v>Electrical Design</v>
      </c>
      <c r="D20" s="231" t="str">
        <f>Data!C47</f>
        <v>Provides an electrical description for the project design with sufficient detail for fabrication/manufacturing/assembly. Provides complete circuit diagrams. Evaluates the results of circuit breadboards. Provides complete wiring diagrams including cables and connectors. Provides a PC board layout ready for production including mounting points.</v>
      </c>
      <c r="E20" s="130" t="s">
        <v>22</v>
      </c>
      <c r="F20" s="157"/>
      <c r="G20" s="157"/>
      <c r="H20" s="157"/>
      <c r="I20" s="157"/>
      <c r="J20" s="157"/>
      <c r="K20" s="157"/>
      <c r="L20" s="157"/>
      <c r="M20" s="218"/>
      <c r="N20" s="136"/>
      <c r="O20" s="217"/>
      <c r="P20" s="157"/>
      <c r="Q20" s="158"/>
      <c r="R20" s="130">
        <f t="shared" si="0"/>
        <v>12</v>
      </c>
      <c r="S20" s="391"/>
      <c r="T20" s="331"/>
    </row>
    <row r="21" spans="1:20" ht="47.4" thickTop="1">
      <c r="A21" s="316"/>
      <c r="B21" s="229">
        <f>Data!A48</f>
        <v>6.3</v>
      </c>
      <c r="C21" s="230" t="str">
        <f>Data!B48</f>
        <v>Software &amp; Programming</v>
      </c>
      <c r="D21" s="231" t="str">
        <f>Data!C48</f>
        <v>Provides a description of the software for the project with sufficient detail for reproducibility and troubleshooting. Includes complete flow diagrams including links and operating interfaces.</v>
      </c>
      <c r="E21" s="130" t="s">
        <v>22</v>
      </c>
      <c r="F21" s="157"/>
      <c r="G21" s="157"/>
      <c r="H21" s="157"/>
      <c r="I21" s="157"/>
      <c r="J21" s="157"/>
      <c r="K21" s="157"/>
      <c r="L21" s="157"/>
      <c r="M21" s="157"/>
      <c r="N21" s="232"/>
      <c r="O21" s="157"/>
      <c r="P21" s="157"/>
      <c r="Q21" s="158"/>
      <c r="R21" s="130">
        <f t="shared" si="0"/>
        <v>12</v>
      </c>
      <c r="S21" s="391"/>
      <c r="T21" s="331"/>
    </row>
    <row r="22" spans="1:20" ht="63" thickBot="1">
      <c r="A22" s="314"/>
      <c r="B22" s="171">
        <f>Data!A50</f>
        <v>6.5</v>
      </c>
      <c r="C22" s="172" t="str">
        <f>Data!B50</f>
        <v>System Design Bill of Materials (BOM)</v>
      </c>
      <c r="D22" s="233" t="str">
        <f>Data!C50</f>
        <v>Provide a completed Design Bill of Materials table that defines each system grouping with its associated assemblies and individual parts fully defined. Each line item in the table has an identifiable part numbering system created by the team.</v>
      </c>
      <c r="E22" s="148" t="s">
        <v>22</v>
      </c>
      <c r="F22" s="159"/>
      <c r="G22" s="159"/>
      <c r="H22" s="159"/>
      <c r="I22" s="159"/>
      <c r="J22" s="159"/>
      <c r="K22" s="159"/>
      <c r="L22" s="159"/>
      <c r="M22" s="159"/>
      <c r="N22" s="159"/>
      <c r="O22" s="159"/>
      <c r="P22" s="159"/>
      <c r="Q22" s="150"/>
      <c r="R22" s="148">
        <f t="shared" si="0"/>
        <v>12</v>
      </c>
      <c r="S22" s="392"/>
      <c r="T22" s="330"/>
    </row>
    <row r="23" spans="1:20" ht="31.5" customHeight="1" thickTop="1" thickBot="1">
      <c r="A23" s="136" t="s">
        <v>20</v>
      </c>
      <c r="B23" s="388"/>
      <c r="C23" s="346"/>
      <c r="D23" s="346"/>
      <c r="E23" s="346"/>
      <c r="F23" s="346"/>
      <c r="G23" s="346"/>
      <c r="H23" s="346"/>
      <c r="I23" s="346"/>
      <c r="J23" s="346"/>
      <c r="K23" s="346"/>
      <c r="L23" s="346"/>
      <c r="M23" s="346"/>
      <c r="N23" s="346"/>
      <c r="O23" s="346"/>
      <c r="P23" s="346"/>
      <c r="Q23" s="346"/>
      <c r="R23" s="346"/>
      <c r="S23" s="389"/>
      <c r="T23" s="347"/>
    </row>
    <row r="24" spans="1:20" ht="31.8" thickTop="1">
      <c r="A24" s="315" t="s">
        <v>48</v>
      </c>
      <c r="B24" s="168">
        <f>Data!A57</f>
        <v>8.4</v>
      </c>
      <c r="C24" s="169" t="str">
        <f>Data!B57</f>
        <v>Established Project Budget</v>
      </c>
      <c r="D24" s="228" t="str">
        <f>Data!C57</f>
        <v xml:space="preserve">Describe the amount of funds that will be available to procure all necessary parts and materials to  build your prototype.  </v>
      </c>
      <c r="E24" s="131" t="s">
        <v>22</v>
      </c>
      <c r="F24" s="153"/>
      <c r="G24" s="153"/>
      <c r="H24" s="153"/>
      <c r="I24" s="153"/>
      <c r="J24" s="153"/>
      <c r="K24" s="153"/>
      <c r="L24" s="153"/>
      <c r="M24" s="153"/>
      <c r="N24" s="153"/>
      <c r="O24" s="153"/>
      <c r="P24" s="153"/>
      <c r="Q24" s="154"/>
      <c r="R24" s="131">
        <f t="shared" si="0"/>
        <v>12</v>
      </c>
      <c r="S24" s="234"/>
      <c r="T24" s="329">
        <f>AVERAGE(R24:R26)</f>
        <v>12</v>
      </c>
    </row>
    <row r="25" spans="1:20" ht="46.8">
      <c r="A25" s="316"/>
      <c r="B25" s="229">
        <f>Data!A58</f>
        <v>8.5</v>
      </c>
      <c r="C25" s="230" t="str">
        <f>Data!B58</f>
        <v>Prototype Parts Expense</v>
      </c>
      <c r="D25" s="231" t="str">
        <f>Data!C58</f>
        <v>Tabulate the total expenses for the various systems of your project, such as, ‘Mechanical Parts’, ‘Electrical Components’, ‘Supplies’, ‘Electrical Suppliers’, ‘Special Tools”, etc.</v>
      </c>
      <c r="E25" s="130" t="s">
        <v>22</v>
      </c>
      <c r="F25" s="157"/>
      <c r="G25" s="157"/>
      <c r="H25" s="157"/>
      <c r="I25" s="157"/>
      <c r="J25" s="157"/>
      <c r="K25" s="157"/>
      <c r="L25" s="157"/>
      <c r="M25" s="157"/>
      <c r="N25" s="157"/>
      <c r="O25" s="157"/>
      <c r="P25" s="157"/>
      <c r="Q25" s="158"/>
      <c r="R25" s="130">
        <f t="shared" si="0"/>
        <v>12</v>
      </c>
      <c r="S25" s="235"/>
      <c r="T25" s="331"/>
    </row>
    <row r="26" spans="1:20" ht="15.75" customHeight="1" thickBot="1">
      <c r="A26" s="314"/>
      <c r="B26" s="171">
        <f>Data!A59</f>
        <v>8.6</v>
      </c>
      <c r="C26" s="172" t="str">
        <f>Data!B59</f>
        <v>Budget Summary</v>
      </c>
      <c r="D26" s="233" t="str">
        <f>Data!C59</f>
        <v>Provide a summary of the status of all expenses and available budget amounts.</v>
      </c>
      <c r="E26" s="148" t="s">
        <v>22</v>
      </c>
      <c r="F26" s="159"/>
      <c r="G26" s="159"/>
      <c r="H26" s="159"/>
      <c r="I26" s="159"/>
      <c r="J26" s="159"/>
      <c r="K26" s="159"/>
      <c r="L26" s="159"/>
      <c r="M26" s="159"/>
      <c r="N26" s="159"/>
      <c r="O26" s="159"/>
      <c r="P26" s="159"/>
      <c r="Q26" s="150"/>
      <c r="R26" s="148">
        <f t="shared" si="0"/>
        <v>12</v>
      </c>
      <c r="S26" s="236"/>
      <c r="T26" s="330"/>
    </row>
    <row r="27" spans="1:20" ht="31.5" customHeight="1" thickTop="1" thickBot="1">
      <c r="A27" s="136" t="s">
        <v>20</v>
      </c>
      <c r="B27" s="388"/>
      <c r="C27" s="346"/>
      <c r="D27" s="346"/>
      <c r="E27" s="346"/>
      <c r="F27" s="346"/>
      <c r="G27" s="346"/>
      <c r="H27" s="346"/>
      <c r="I27" s="346"/>
      <c r="J27" s="346"/>
      <c r="K27" s="346"/>
      <c r="L27" s="346"/>
      <c r="M27" s="346"/>
      <c r="N27" s="346"/>
      <c r="O27" s="346"/>
      <c r="P27" s="346"/>
      <c r="Q27" s="346"/>
      <c r="R27" s="346"/>
      <c r="S27" s="389"/>
      <c r="T27" s="347"/>
    </row>
    <row r="28" spans="1:20" ht="78.599999999999994" thickTop="1">
      <c r="A28" s="315" t="s">
        <v>39</v>
      </c>
      <c r="B28" s="70">
        <f>Data!A65</f>
        <v>10.1</v>
      </c>
      <c r="C28" s="71" t="str">
        <f>Data!B65</f>
        <v>Project Schedule</v>
      </c>
      <c r="D28" s="72" t="str">
        <f>Data!C65</f>
        <v>Task descriptions contain an acceptable level of detail. Task predecessor links properly used with no open-ended tasks.  Task progress bar properly used to indicate % completion status of active tasks. All tasks set to Auto-Schedule mode. All Resource Names added. Milestones identified and properly linked. All task flow in a chronological order.</v>
      </c>
      <c r="E28" s="28" t="s">
        <v>22</v>
      </c>
      <c r="F28" s="50"/>
      <c r="G28" s="50"/>
      <c r="H28" s="50"/>
      <c r="I28" s="50"/>
      <c r="J28" s="50"/>
      <c r="K28" s="50"/>
      <c r="L28" s="50"/>
      <c r="M28" s="50"/>
      <c r="N28" s="50"/>
      <c r="O28" s="50"/>
      <c r="P28" s="50"/>
      <c r="Q28" s="51"/>
      <c r="R28" s="28">
        <f t="shared" si="0"/>
        <v>12</v>
      </c>
      <c r="S28" s="125"/>
      <c r="T28" s="354">
        <f>AVERAGE(R28:R29)</f>
        <v>12</v>
      </c>
    </row>
    <row r="29" spans="1:20" ht="115.5" customHeight="1" thickBot="1">
      <c r="A29" s="314"/>
      <c r="B29" s="56">
        <f>Data!A66</f>
        <v>10.199999999999999</v>
      </c>
      <c r="C29" s="58" t="str">
        <f>Data!B66</f>
        <v>Gantt Charts &amp; Critical Path</v>
      </c>
      <c r="D29" s="74" t="str">
        <f>Data!C66&amp;" 3 Tasks."</f>
        <v>Gantt Chart(s): Properly formatted to clearly define project status details and all information in the Gantt Charts is aligned with the Gate requirements. Task level information clearly indicates an appropriate level of detail. Chart types are properly created as defined in the Project Schedule Guidelines. Critical Path: MS Project able to calculate critical path based on existing tasks and predecessor structure. Clearly defined and shown using the Level 3 chart format. Gantt Charts content should be To gate  3 Tasks.</v>
      </c>
      <c r="E29" s="29" t="s">
        <v>22</v>
      </c>
      <c r="F29" s="53"/>
      <c r="G29" s="53"/>
      <c r="H29" s="53"/>
      <c r="I29" s="53"/>
      <c r="J29" s="53"/>
      <c r="K29" s="53"/>
      <c r="L29" s="53"/>
      <c r="M29" s="53"/>
      <c r="N29" s="53"/>
      <c r="O29" s="53"/>
      <c r="P29" s="53"/>
      <c r="Q29" s="54"/>
      <c r="R29" s="29">
        <f t="shared" si="0"/>
        <v>12</v>
      </c>
      <c r="S29" s="126"/>
      <c r="T29" s="355"/>
    </row>
    <row r="30" spans="1:20">
      <c r="A30" s="398" t="s">
        <v>20</v>
      </c>
      <c r="B30" s="399" t="s">
        <v>49</v>
      </c>
      <c r="C30" s="400"/>
      <c r="D30" s="400"/>
      <c r="E30" s="400"/>
      <c r="F30" s="400"/>
      <c r="G30" s="400"/>
      <c r="H30" s="400"/>
      <c r="I30" s="400"/>
      <c r="J30" s="400"/>
      <c r="K30" s="400"/>
      <c r="L30" s="400"/>
      <c r="M30" s="400"/>
      <c r="N30" s="400"/>
      <c r="O30" s="400"/>
      <c r="P30" s="400"/>
      <c r="Q30" s="401"/>
      <c r="R30" s="237" t="s">
        <v>30</v>
      </c>
      <c r="S30" s="238"/>
      <c r="T30" s="239">
        <f>SUM(T4:T29)</f>
        <v>96</v>
      </c>
    </row>
    <row r="31" spans="1:20" ht="31.2">
      <c r="A31" s="318"/>
      <c r="B31" s="402"/>
      <c r="C31" s="403"/>
      <c r="D31" s="403"/>
      <c r="E31" s="403"/>
      <c r="F31" s="403"/>
      <c r="G31" s="403"/>
      <c r="H31" s="403"/>
      <c r="I31" s="403"/>
      <c r="J31" s="403"/>
      <c r="K31" s="403"/>
      <c r="L31" s="403"/>
      <c r="M31" s="403"/>
      <c r="N31" s="403"/>
      <c r="O31" s="403"/>
      <c r="P31" s="403"/>
      <c r="Q31" s="404"/>
      <c r="R31" s="130" t="s">
        <v>31</v>
      </c>
      <c r="S31" s="235"/>
      <c r="T31" s="240">
        <v>96</v>
      </c>
    </row>
    <row r="32" spans="1:20" ht="16.2" thickBot="1">
      <c r="A32" s="319"/>
      <c r="B32" s="405"/>
      <c r="C32" s="406"/>
      <c r="D32" s="406"/>
      <c r="E32" s="406"/>
      <c r="F32" s="406"/>
      <c r="G32" s="406"/>
      <c r="H32" s="406"/>
      <c r="I32" s="406"/>
      <c r="J32" s="406"/>
      <c r="K32" s="406"/>
      <c r="L32" s="406"/>
      <c r="M32" s="406"/>
      <c r="N32" s="406"/>
      <c r="O32" s="406"/>
      <c r="P32" s="406"/>
      <c r="Q32" s="407"/>
      <c r="R32" s="241" t="s">
        <v>32</v>
      </c>
      <c r="S32" s="242"/>
      <c r="T32" s="243">
        <f>T30/T31</f>
        <v>1</v>
      </c>
    </row>
    <row r="33" spans="2:5" ht="16.2" thickTop="1">
      <c r="B33" s="135"/>
      <c r="C33" s="135"/>
      <c r="D33" s="176"/>
      <c r="E33" s="207"/>
    </row>
    <row r="34" spans="2:5">
      <c r="B34" s="135"/>
      <c r="C34" s="135"/>
      <c r="D34" s="176"/>
      <c r="E34" s="207"/>
    </row>
    <row r="35" spans="2:5">
      <c r="B35" s="135"/>
      <c r="C35" s="135"/>
      <c r="D35" s="176"/>
      <c r="E35" s="207"/>
    </row>
    <row r="36" spans="2:5">
      <c r="B36" s="135"/>
      <c r="C36" s="135"/>
      <c r="D36" s="176"/>
      <c r="E36" s="207"/>
    </row>
    <row r="37" spans="2:5">
      <c r="B37" s="135"/>
      <c r="C37" s="135"/>
      <c r="D37" s="176"/>
      <c r="E37" s="207"/>
    </row>
    <row r="38" spans="2:5">
      <c r="B38" s="135"/>
      <c r="C38" s="135"/>
      <c r="D38" s="176"/>
      <c r="E38" s="207"/>
    </row>
    <row r="39" spans="2:5">
      <c r="B39" s="135"/>
      <c r="C39" s="135"/>
      <c r="D39" s="176"/>
      <c r="E39" s="207"/>
    </row>
    <row r="40" spans="2:5">
      <c r="B40" s="135"/>
      <c r="C40" s="135"/>
      <c r="D40" s="176"/>
      <c r="E40" s="207"/>
    </row>
    <row r="41" spans="2:5">
      <c r="B41" s="135"/>
      <c r="C41" s="135"/>
      <c r="D41" s="176"/>
      <c r="E41" s="207"/>
    </row>
    <row r="42" spans="2:5">
      <c r="B42" s="135"/>
      <c r="C42" s="135"/>
      <c r="D42" s="176"/>
      <c r="E42" s="207"/>
    </row>
    <row r="43" spans="2:5">
      <c r="B43" s="135"/>
      <c r="C43" s="135"/>
      <c r="D43" s="176"/>
      <c r="E43" s="207"/>
    </row>
    <row r="44" spans="2:5">
      <c r="B44" s="135"/>
      <c r="C44" s="135"/>
      <c r="D44" s="176"/>
      <c r="E44" s="207"/>
    </row>
    <row r="45" spans="2:5">
      <c r="B45" s="135"/>
      <c r="C45" s="135"/>
      <c r="D45" s="176"/>
      <c r="E45" s="207"/>
    </row>
    <row r="46" spans="2:5">
      <c r="B46" s="135"/>
      <c r="C46" s="135"/>
      <c r="D46" s="176"/>
      <c r="E46" s="207"/>
    </row>
    <row r="47" spans="2:5">
      <c r="B47" s="135"/>
      <c r="C47" s="135"/>
      <c r="D47" s="176"/>
      <c r="E47" s="207"/>
    </row>
    <row r="48" spans="2:5">
      <c r="B48" s="135"/>
      <c r="C48" s="135"/>
      <c r="D48" s="176"/>
      <c r="E48" s="207"/>
    </row>
    <row r="49" spans="2:5">
      <c r="B49" s="135"/>
      <c r="C49" s="135"/>
      <c r="D49" s="176"/>
      <c r="E49" s="207"/>
    </row>
    <row r="50" spans="2:5">
      <c r="B50" s="135"/>
      <c r="C50" s="135"/>
      <c r="D50" s="176"/>
      <c r="E50" s="207"/>
    </row>
    <row r="51" spans="2:5">
      <c r="B51" s="135"/>
      <c r="C51" s="135"/>
      <c r="D51" s="176"/>
      <c r="E51" s="207"/>
    </row>
    <row r="52" spans="2:5">
      <c r="B52" s="135"/>
      <c r="C52" s="135"/>
      <c r="D52" s="176"/>
      <c r="E52" s="207"/>
    </row>
    <row r="53" spans="2:5">
      <c r="B53" s="135"/>
      <c r="C53" s="135"/>
      <c r="D53" s="176"/>
      <c r="E53" s="207"/>
    </row>
    <row r="54" spans="2:5">
      <c r="B54" s="135"/>
      <c r="C54" s="135"/>
      <c r="D54" s="176"/>
      <c r="E54" s="207"/>
    </row>
    <row r="55" spans="2:5">
      <c r="B55" s="135"/>
      <c r="C55" s="135"/>
      <c r="D55" s="176"/>
      <c r="E55" s="207"/>
    </row>
    <row r="56" spans="2:5">
      <c r="B56" s="135"/>
      <c r="C56" s="135"/>
      <c r="D56" s="176"/>
      <c r="E56" s="207"/>
    </row>
    <row r="57" spans="2:5">
      <c r="B57" s="135"/>
      <c r="C57" s="135"/>
      <c r="D57" s="176"/>
      <c r="E57" s="207"/>
    </row>
    <row r="58" spans="2:5">
      <c r="B58" s="135"/>
      <c r="C58" s="135"/>
      <c r="D58" s="176"/>
      <c r="E58" s="207"/>
    </row>
    <row r="59" spans="2:5">
      <c r="B59" s="135"/>
      <c r="C59" s="135"/>
      <c r="D59" s="176"/>
      <c r="E59" s="207"/>
    </row>
    <row r="60" spans="2:5">
      <c r="B60" s="135"/>
      <c r="C60" s="135"/>
      <c r="D60" s="176"/>
      <c r="E60" s="207"/>
    </row>
    <row r="61" spans="2:5">
      <c r="B61" s="135"/>
      <c r="C61" s="135"/>
      <c r="D61" s="176"/>
      <c r="E61" s="207"/>
    </row>
    <row r="62" spans="2:5">
      <c r="B62" s="135"/>
      <c r="C62" s="135"/>
      <c r="D62" s="176"/>
      <c r="E62" s="207"/>
    </row>
    <row r="63" spans="2:5">
      <c r="B63" s="135"/>
      <c r="C63" s="135"/>
      <c r="D63" s="176"/>
      <c r="E63" s="207"/>
    </row>
    <row r="64" spans="2:5">
      <c r="B64" s="135"/>
      <c r="C64" s="135"/>
      <c r="D64" s="176"/>
      <c r="E64" s="207"/>
    </row>
    <row r="65" spans="2:5">
      <c r="B65" s="135"/>
      <c r="C65" s="135"/>
      <c r="D65" s="176"/>
      <c r="E65" s="207"/>
    </row>
    <row r="66" spans="2:5">
      <c r="B66" s="135"/>
      <c r="C66" s="135"/>
      <c r="D66" s="176"/>
      <c r="E66" s="207"/>
    </row>
    <row r="67" spans="2:5">
      <c r="B67" s="135"/>
      <c r="C67" s="135"/>
      <c r="D67" s="176"/>
      <c r="E67" s="207"/>
    </row>
    <row r="68" spans="2:5">
      <c r="B68" s="135"/>
      <c r="C68" s="135"/>
      <c r="D68" s="176"/>
      <c r="E68" s="207"/>
    </row>
    <row r="69" spans="2:5">
      <c r="B69" s="135"/>
      <c r="C69" s="135"/>
      <c r="D69" s="176"/>
      <c r="E69" s="207"/>
    </row>
    <row r="70" spans="2:5">
      <c r="B70" s="135"/>
      <c r="C70" s="135"/>
      <c r="D70" s="176"/>
      <c r="E70" s="207"/>
    </row>
    <row r="71" spans="2:5">
      <c r="B71" s="135"/>
      <c r="C71" s="135"/>
      <c r="D71" s="176"/>
      <c r="E71" s="207"/>
    </row>
    <row r="72" spans="2:5">
      <c r="B72" s="135"/>
      <c r="C72" s="135"/>
      <c r="D72" s="176"/>
      <c r="E72" s="207"/>
    </row>
    <row r="73" spans="2:5">
      <c r="B73" s="135"/>
      <c r="C73" s="135"/>
      <c r="D73" s="176"/>
      <c r="E73" s="207"/>
    </row>
    <row r="74" spans="2:5">
      <c r="B74" s="135"/>
      <c r="C74" s="135"/>
      <c r="D74" s="176"/>
      <c r="E74" s="207"/>
    </row>
    <row r="75" spans="2:5">
      <c r="B75" s="135"/>
      <c r="C75" s="135"/>
      <c r="D75" s="176"/>
      <c r="E75" s="207"/>
    </row>
    <row r="76" spans="2:5">
      <c r="B76" s="135"/>
      <c r="C76" s="135"/>
      <c r="D76" s="176"/>
      <c r="E76" s="207"/>
    </row>
    <row r="77" spans="2:5">
      <c r="B77" s="135"/>
      <c r="C77" s="135"/>
      <c r="D77" s="176"/>
      <c r="E77" s="207"/>
    </row>
    <row r="78" spans="2:5">
      <c r="B78" s="135"/>
      <c r="C78" s="135"/>
      <c r="D78" s="176"/>
      <c r="E78" s="207"/>
    </row>
    <row r="79" spans="2:5">
      <c r="B79" s="135"/>
      <c r="C79" s="135"/>
      <c r="D79" s="176"/>
      <c r="E79" s="207"/>
    </row>
    <row r="80" spans="2:5">
      <c r="B80" s="135"/>
      <c r="C80" s="135"/>
      <c r="D80" s="176"/>
      <c r="E80" s="207"/>
    </row>
    <row r="81" spans="2:5">
      <c r="B81" s="135"/>
      <c r="C81" s="135"/>
      <c r="D81" s="176"/>
      <c r="E81" s="207"/>
    </row>
    <row r="82" spans="2:5">
      <c r="B82" s="135"/>
      <c r="C82" s="135"/>
      <c r="D82" s="176"/>
      <c r="E82" s="207"/>
    </row>
    <row r="83" spans="2:5">
      <c r="B83" s="135"/>
      <c r="C83" s="135"/>
      <c r="D83" s="176"/>
      <c r="E83" s="207"/>
    </row>
    <row r="84" spans="2:5">
      <c r="B84" s="135"/>
      <c r="C84" s="135"/>
      <c r="D84" s="176"/>
      <c r="E84" s="207"/>
    </row>
    <row r="85" spans="2:5">
      <c r="B85" s="135"/>
      <c r="C85" s="135"/>
      <c r="D85" s="176"/>
      <c r="E85" s="207"/>
    </row>
    <row r="86" spans="2:5">
      <c r="B86" s="135"/>
      <c r="C86" s="135"/>
      <c r="D86" s="176"/>
      <c r="E86" s="207"/>
    </row>
    <row r="87" spans="2:5">
      <c r="B87" s="135"/>
      <c r="C87" s="135"/>
      <c r="D87" s="176"/>
      <c r="E87" s="207"/>
    </row>
    <row r="88" spans="2:5">
      <c r="B88" s="135"/>
      <c r="C88" s="135"/>
      <c r="D88" s="176"/>
      <c r="E88" s="207"/>
    </row>
    <row r="89" spans="2:5">
      <c r="B89" s="135"/>
      <c r="C89" s="135"/>
      <c r="D89" s="176"/>
      <c r="E89" s="207"/>
    </row>
    <row r="90" spans="2:5">
      <c r="B90" s="135"/>
      <c r="C90" s="135"/>
      <c r="D90" s="176"/>
      <c r="E90" s="207"/>
    </row>
    <row r="91" spans="2:5">
      <c r="B91" s="135"/>
      <c r="C91" s="135"/>
      <c r="D91" s="176"/>
      <c r="E91" s="207"/>
    </row>
    <row r="92" spans="2:5">
      <c r="B92" s="135"/>
      <c r="C92" s="135"/>
      <c r="D92" s="176"/>
      <c r="E92" s="207"/>
    </row>
    <row r="93" spans="2:5">
      <c r="B93" s="135"/>
      <c r="C93" s="135"/>
      <c r="D93" s="176"/>
      <c r="E93" s="207"/>
    </row>
    <row r="94" spans="2:5">
      <c r="B94" s="135"/>
      <c r="C94" s="135"/>
      <c r="D94" s="176"/>
      <c r="E94" s="207"/>
    </row>
    <row r="95" spans="2:5">
      <c r="B95" s="135"/>
      <c r="C95" s="135"/>
      <c r="D95" s="176"/>
      <c r="E95" s="207"/>
    </row>
    <row r="96" spans="2:5">
      <c r="B96" s="135"/>
      <c r="C96" s="135"/>
      <c r="D96" s="176"/>
      <c r="E96" s="207"/>
    </row>
    <row r="97" spans="2:5">
      <c r="B97" s="135"/>
      <c r="C97" s="135"/>
      <c r="D97" s="176"/>
      <c r="E97" s="207"/>
    </row>
    <row r="98" spans="2:5">
      <c r="B98" s="135"/>
      <c r="C98" s="135"/>
      <c r="D98" s="176"/>
      <c r="E98" s="207"/>
    </row>
    <row r="99" spans="2:5">
      <c r="B99" s="135"/>
      <c r="C99" s="135"/>
      <c r="D99" s="176"/>
      <c r="E99" s="207"/>
    </row>
    <row r="100" spans="2:5">
      <c r="B100" s="135"/>
      <c r="C100" s="135"/>
      <c r="D100" s="176"/>
      <c r="E100" s="207"/>
    </row>
    <row r="101" spans="2:5">
      <c r="B101" s="135"/>
      <c r="C101" s="135"/>
      <c r="D101" s="176"/>
      <c r="E101" s="207"/>
    </row>
    <row r="102" spans="2:5">
      <c r="B102" s="135"/>
      <c r="C102" s="135"/>
      <c r="D102" s="176"/>
      <c r="E102" s="207"/>
    </row>
    <row r="103" spans="2:5">
      <c r="B103" s="135"/>
      <c r="C103" s="135"/>
      <c r="D103" s="176"/>
      <c r="E103" s="207"/>
    </row>
    <row r="104" spans="2:5">
      <c r="B104" s="135"/>
      <c r="C104" s="135"/>
      <c r="D104" s="176"/>
      <c r="E104" s="207"/>
    </row>
    <row r="105" spans="2:5">
      <c r="B105" s="135"/>
      <c r="C105" s="135"/>
      <c r="D105" s="176"/>
      <c r="E105" s="207"/>
    </row>
    <row r="106" spans="2:5">
      <c r="B106" s="135"/>
      <c r="C106" s="135"/>
      <c r="D106" s="176"/>
      <c r="E106" s="207"/>
    </row>
    <row r="107" spans="2:5">
      <c r="B107" s="135"/>
      <c r="C107" s="135"/>
      <c r="D107" s="176"/>
      <c r="E107" s="207"/>
    </row>
    <row r="108" spans="2:5">
      <c r="B108" s="135"/>
      <c r="C108" s="135"/>
      <c r="D108" s="176"/>
      <c r="E108" s="207"/>
    </row>
    <row r="109" spans="2:5">
      <c r="B109" s="135"/>
      <c r="C109" s="135"/>
      <c r="D109" s="176"/>
      <c r="E109" s="207"/>
    </row>
    <row r="110" spans="2:5">
      <c r="B110" s="135"/>
      <c r="C110" s="135"/>
      <c r="D110" s="176"/>
      <c r="E110" s="207"/>
    </row>
    <row r="111" spans="2:5">
      <c r="B111" s="135"/>
      <c r="C111" s="135"/>
      <c r="D111" s="176"/>
      <c r="E111" s="207"/>
    </row>
    <row r="112" spans="2:5">
      <c r="B112" s="135"/>
      <c r="C112" s="135"/>
      <c r="D112" s="176"/>
      <c r="E112" s="207"/>
    </row>
    <row r="113" spans="2:5">
      <c r="B113" s="135"/>
      <c r="C113" s="135"/>
      <c r="D113" s="176"/>
      <c r="E113" s="207"/>
    </row>
    <row r="114" spans="2:5">
      <c r="B114" s="135"/>
      <c r="C114" s="135"/>
      <c r="D114" s="176"/>
      <c r="E114" s="207"/>
    </row>
    <row r="115" spans="2:5">
      <c r="B115" s="135"/>
      <c r="C115" s="135"/>
      <c r="D115" s="176"/>
      <c r="E115" s="207"/>
    </row>
    <row r="116" spans="2:5">
      <c r="B116" s="135"/>
      <c r="C116" s="135"/>
      <c r="D116" s="176"/>
      <c r="E116" s="207"/>
    </row>
    <row r="117" spans="2:5">
      <c r="B117" s="135"/>
      <c r="C117" s="135"/>
      <c r="D117" s="176"/>
      <c r="E117" s="207"/>
    </row>
    <row r="118" spans="2:5">
      <c r="B118" s="135"/>
      <c r="C118" s="135"/>
      <c r="D118" s="176"/>
      <c r="E118" s="207"/>
    </row>
    <row r="119" spans="2:5">
      <c r="B119" s="135"/>
      <c r="C119" s="135"/>
      <c r="D119" s="176"/>
      <c r="E119" s="207"/>
    </row>
    <row r="120" spans="2:5">
      <c r="B120" s="135"/>
      <c r="C120" s="135"/>
      <c r="D120" s="176"/>
      <c r="E120" s="207"/>
    </row>
    <row r="121" spans="2:5">
      <c r="B121" s="135"/>
      <c r="C121" s="135"/>
      <c r="D121" s="176"/>
      <c r="E121" s="207"/>
    </row>
    <row r="122" spans="2:5">
      <c r="B122" s="135"/>
      <c r="C122" s="135"/>
      <c r="D122" s="176"/>
      <c r="E122" s="207"/>
    </row>
    <row r="123" spans="2:5">
      <c r="B123" s="135"/>
      <c r="C123" s="135"/>
      <c r="D123" s="176"/>
      <c r="E123" s="207"/>
    </row>
    <row r="124" spans="2:5">
      <c r="B124" s="135"/>
      <c r="C124" s="135"/>
      <c r="D124" s="176"/>
      <c r="E124" s="207"/>
    </row>
    <row r="125" spans="2:5">
      <c r="B125" s="135"/>
      <c r="C125" s="135"/>
      <c r="D125" s="176"/>
      <c r="E125" s="207"/>
    </row>
    <row r="126" spans="2:5">
      <c r="B126" s="135"/>
      <c r="C126" s="135"/>
      <c r="D126" s="176"/>
      <c r="E126" s="207"/>
    </row>
    <row r="127" spans="2:5">
      <c r="B127" s="135"/>
      <c r="C127" s="135"/>
      <c r="D127" s="176"/>
      <c r="E127" s="207"/>
    </row>
    <row r="128" spans="2:5">
      <c r="B128" s="135"/>
      <c r="C128" s="135"/>
      <c r="D128" s="176"/>
      <c r="E128" s="207"/>
    </row>
    <row r="129" spans="2:5">
      <c r="B129" s="135"/>
      <c r="C129" s="135"/>
      <c r="D129" s="176"/>
      <c r="E129" s="207"/>
    </row>
    <row r="130" spans="2:5">
      <c r="B130" s="135"/>
      <c r="C130" s="135"/>
      <c r="D130" s="176"/>
      <c r="E130" s="207"/>
    </row>
    <row r="131" spans="2:5">
      <c r="B131" s="135"/>
      <c r="C131" s="135"/>
      <c r="D131" s="176"/>
      <c r="E131" s="207"/>
    </row>
    <row r="132" spans="2:5">
      <c r="B132" s="135"/>
      <c r="C132" s="135"/>
      <c r="D132" s="176"/>
      <c r="E132" s="207"/>
    </row>
    <row r="133" spans="2:5">
      <c r="B133" s="135"/>
      <c r="C133" s="135"/>
      <c r="D133" s="176"/>
      <c r="E133" s="207"/>
    </row>
    <row r="134" spans="2:5">
      <c r="B134" s="135"/>
      <c r="C134" s="135"/>
      <c r="D134" s="176"/>
      <c r="E134" s="207"/>
    </row>
    <row r="135" spans="2:5">
      <c r="B135" s="135"/>
      <c r="C135" s="135"/>
      <c r="D135" s="176"/>
      <c r="E135" s="207"/>
    </row>
    <row r="136" spans="2:5">
      <c r="B136" s="135"/>
      <c r="C136" s="135"/>
      <c r="D136" s="176"/>
      <c r="E136" s="207"/>
    </row>
    <row r="137" spans="2:5">
      <c r="B137" s="135"/>
      <c r="C137" s="135"/>
      <c r="D137" s="176"/>
      <c r="E137" s="207"/>
    </row>
    <row r="138" spans="2:5">
      <c r="B138" s="135"/>
      <c r="C138" s="135"/>
      <c r="D138" s="176"/>
      <c r="E138" s="207"/>
    </row>
    <row r="139" spans="2:5">
      <c r="B139" s="135"/>
      <c r="C139" s="135"/>
      <c r="D139" s="176"/>
      <c r="E139" s="207"/>
    </row>
    <row r="140" spans="2:5">
      <c r="B140" s="135"/>
      <c r="C140" s="135"/>
      <c r="D140" s="176"/>
      <c r="E140" s="207"/>
    </row>
    <row r="141" spans="2:5">
      <c r="B141" s="135"/>
      <c r="C141" s="135"/>
      <c r="D141" s="176"/>
      <c r="E141" s="207"/>
    </row>
    <row r="142" spans="2:5">
      <c r="B142" s="135"/>
      <c r="C142" s="135"/>
      <c r="D142" s="176"/>
      <c r="E142" s="207"/>
    </row>
    <row r="143" spans="2:5">
      <c r="B143" s="135"/>
      <c r="C143" s="135"/>
      <c r="D143" s="176"/>
      <c r="E143" s="207"/>
    </row>
    <row r="144" spans="2:5">
      <c r="B144" s="135"/>
      <c r="C144" s="135"/>
      <c r="D144" s="176"/>
      <c r="E144" s="207"/>
    </row>
    <row r="145" spans="2:5">
      <c r="B145" s="135"/>
      <c r="C145" s="135"/>
      <c r="D145" s="176"/>
      <c r="E145" s="207"/>
    </row>
    <row r="146" spans="2:5">
      <c r="B146" s="135"/>
      <c r="C146" s="135"/>
      <c r="D146" s="176"/>
      <c r="E146" s="207"/>
    </row>
    <row r="147" spans="2:5">
      <c r="B147" s="135"/>
      <c r="C147" s="135"/>
      <c r="E147" s="207"/>
    </row>
    <row r="148" spans="2:5">
      <c r="B148" s="135"/>
      <c r="C148" s="135"/>
      <c r="E148" s="207"/>
    </row>
    <row r="149" spans="2:5">
      <c r="B149" s="135"/>
      <c r="C149" s="135"/>
      <c r="E149" s="207"/>
    </row>
    <row r="150" spans="2:5">
      <c r="B150" s="135"/>
      <c r="C150" s="135"/>
      <c r="E150" s="207"/>
    </row>
    <row r="151" spans="2:5">
      <c r="B151" s="135"/>
      <c r="C151" s="135"/>
      <c r="E151" s="207"/>
    </row>
    <row r="152" spans="2:5">
      <c r="B152" s="135"/>
      <c r="C152" s="135"/>
      <c r="E152" s="207"/>
    </row>
    <row r="153" spans="2:5">
      <c r="B153" s="135"/>
      <c r="C153" s="135"/>
      <c r="E153" s="207"/>
    </row>
    <row r="154" spans="2:5">
      <c r="B154" s="135"/>
      <c r="C154" s="135"/>
      <c r="E154" s="207"/>
    </row>
  </sheetData>
  <mergeCells count="24">
    <mergeCell ref="S14:S17"/>
    <mergeCell ref="S19:S22"/>
    <mergeCell ref="A30:A32"/>
    <mergeCell ref="B30:Q32"/>
    <mergeCell ref="B13:T13"/>
    <mergeCell ref="B18:T18"/>
    <mergeCell ref="B23:T23"/>
    <mergeCell ref="B27:T27"/>
    <mergeCell ref="A28:A29"/>
    <mergeCell ref="T28:T29"/>
    <mergeCell ref="A14:A17"/>
    <mergeCell ref="A19:A22"/>
    <mergeCell ref="T19:T22"/>
    <mergeCell ref="A24:A26"/>
    <mergeCell ref="T24:T26"/>
    <mergeCell ref="T14:T17"/>
    <mergeCell ref="A2:T2"/>
    <mergeCell ref="A4:A7"/>
    <mergeCell ref="T4:T7"/>
    <mergeCell ref="A9:A12"/>
    <mergeCell ref="T9:T12"/>
    <mergeCell ref="B8:T8"/>
    <mergeCell ref="S4:S7"/>
    <mergeCell ref="S9:S12"/>
  </mergeCells>
  <printOptions horizontalCentered="1"/>
  <pageMargins left="0.7" right="0.7" top="0.75" bottom="0.75" header="0.3" footer="0.3"/>
  <pageSetup scale="57" fitToHeight="2"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178F0-601C-0B44-981E-C311813491A1}">
  <sheetPr>
    <tabColor theme="6" tint="0.79998168889431442"/>
    <pageSetUpPr fitToPage="1"/>
  </sheetPr>
  <dimension ref="A1:T31"/>
  <sheetViews>
    <sheetView zoomScale="115" zoomScaleNormal="115" workbookViewId="0">
      <pane xSplit="1" ySplit="3" topLeftCell="B4" activePane="bottomRight" state="frozen"/>
      <selection pane="topRight" activeCell="C1" sqref="C1"/>
      <selection pane="bottomLeft" activeCell="A4" sqref="A4"/>
      <selection pane="bottomRight" activeCell="A21" sqref="A21"/>
    </sheetView>
  </sheetViews>
  <sheetFormatPr defaultColWidth="8.6640625" defaultRowHeight="14.4"/>
  <cols>
    <col min="1" max="1" width="15.6640625" style="5" customWidth="1"/>
    <col min="2" max="2" width="13.33203125" style="3" customWidth="1"/>
    <col min="3" max="3" width="26.6640625" customWidth="1"/>
    <col min="4" max="4" width="71.6640625" customWidth="1"/>
    <col min="5" max="5" width="13" customWidth="1"/>
    <col min="6" max="7" width="4.6640625" customWidth="1"/>
    <col min="8" max="16" width="4.33203125" customWidth="1"/>
    <col min="17" max="17" width="9.33203125" customWidth="1"/>
    <col min="18" max="19" width="7.44140625" customWidth="1"/>
    <col min="20" max="20" width="6.6640625" customWidth="1"/>
    <col min="21" max="21" width="85.33203125" customWidth="1"/>
  </cols>
  <sheetData>
    <row r="1" spans="1:20" ht="15" thickBot="1"/>
    <row r="2" spans="1:20" ht="34.799999999999997" thickTop="1" thickBot="1">
      <c r="A2" s="425" t="s">
        <v>50</v>
      </c>
      <c r="B2" s="426"/>
      <c r="C2" s="426"/>
      <c r="D2" s="426"/>
      <c r="E2" s="426"/>
      <c r="F2" s="426"/>
      <c r="G2" s="426"/>
      <c r="H2" s="426"/>
      <c r="I2" s="426"/>
      <c r="J2" s="426"/>
      <c r="K2" s="426"/>
      <c r="L2" s="426"/>
      <c r="M2" s="426"/>
      <c r="N2" s="426"/>
      <c r="O2" s="426"/>
      <c r="P2" s="426"/>
      <c r="Q2" s="426"/>
      <c r="R2" s="426"/>
      <c r="S2" s="426"/>
      <c r="T2" s="427"/>
    </row>
    <row r="3" spans="1:20" ht="48" thickTop="1" thickBot="1">
      <c r="A3" s="136" t="s">
        <v>1</v>
      </c>
      <c r="B3" s="136" t="s">
        <v>35</v>
      </c>
      <c r="C3" s="136" t="s">
        <v>3</v>
      </c>
      <c r="D3" s="136" t="s">
        <v>51</v>
      </c>
      <c r="E3" s="133" t="s">
        <v>5</v>
      </c>
      <c r="F3" s="137" t="s">
        <v>6</v>
      </c>
      <c r="G3" s="137" t="s">
        <v>7</v>
      </c>
      <c r="H3" s="137" t="s">
        <v>8</v>
      </c>
      <c r="I3" s="137" t="s">
        <v>9</v>
      </c>
      <c r="J3" s="137" t="s">
        <v>10</v>
      </c>
      <c r="K3" s="137" t="s">
        <v>11</v>
      </c>
      <c r="L3" s="137" t="s">
        <v>12</v>
      </c>
      <c r="M3" s="137" t="s">
        <v>13</v>
      </c>
      <c r="N3" s="137" t="s">
        <v>14</v>
      </c>
      <c r="O3" s="137" t="s">
        <v>15</v>
      </c>
      <c r="P3" s="137" t="s">
        <v>16</v>
      </c>
      <c r="Q3" s="138" t="s">
        <v>17</v>
      </c>
      <c r="R3" s="133" t="s">
        <v>18</v>
      </c>
      <c r="S3" s="177" t="s">
        <v>42</v>
      </c>
      <c r="T3" s="138" t="s">
        <v>19</v>
      </c>
    </row>
    <row r="4" spans="1:20" ht="31.5" customHeight="1" thickTop="1">
      <c r="A4" s="315" t="s">
        <v>37</v>
      </c>
      <c r="B4" s="198"/>
      <c r="C4" s="152" t="str">
        <f>Data!B11</f>
        <v>Oral Presentation Skill</v>
      </c>
      <c r="D4" s="165" t="str">
        <f>Data!C11</f>
        <v>Clear enunciation when discussing engineering design. All members are participating. Smooth transitions between topics and presenters.</v>
      </c>
      <c r="E4" s="131" t="s">
        <v>22</v>
      </c>
      <c r="F4" s="178"/>
      <c r="G4" s="178"/>
      <c r="H4" s="178"/>
      <c r="I4" s="178"/>
      <c r="J4" s="178"/>
      <c r="K4" s="178"/>
      <c r="L4" s="178"/>
      <c r="M4" s="178"/>
      <c r="N4" s="178"/>
      <c r="O4" s="178"/>
      <c r="P4" s="178"/>
      <c r="Q4" s="154"/>
      <c r="R4" s="28">
        <f t="shared" ref="R4:R15" si="0">IF(E4="x",12,IF(F4="x",11,IF(G4="x",10,IF(H4="x",9,IF(I4="x",8,IF(J4="x",7,IF(K4="x",6,IF(L4="x",5,IF(M4="x",4,IF(N4="x",3,IF(O4="x",2,IF(P4="x",1,IF(Q4="x",0,"")))))))))))))</f>
        <v>12</v>
      </c>
      <c r="S4" s="364">
        <v>1.5</v>
      </c>
      <c r="T4" s="329">
        <f>AVERAGE(R4:R6)*S4</f>
        <v>18</v>
      </c>
    </row>
    <row r="5" spans="1:20" ht="93.6">
      <c r="A5" s="316"/>
      <c r="B5" s="244"/>
      <c r="C5" s="156" t="str">
        <f>Data!B12</f>
        <v>Audio / Visual Quality of Presentation</v>
      </c>
      <c r="D5" s="166" t="str">
        <f>Data!C12</f>
        <v xml:space="preserve">Figures and tables in engineering format, free of spelling and grammatical errors, data presented is well-organized and defined in tabular or graphical form. Annotations are used to describe key points of photos and graphics. All slides are labeled with page numbers and consistent formatting between slides. Audio quality good no background noise or distractions. </v>
      </c>
      <c r="E5" s="130" t="s">
        <v>22</v>
      </c>
      <c r="F5" s="134"/>
      <c r="G5" s="134"/>
      <c r="H5" s="134"/>
      <c r="I5" s="134"/>
      <c r="J5" s="134"/>
      <c r="K5" s="134"/>
      <c r="L5" s="134"/>
      <c r="M5" s="134"/>
      <c r="N5" s="134"/>
      <c r="O5" s="134"/>
      <c r="P5" s="134"/>
      <c r="Q5" s="158"/>
      <c r="R5" s="32">
        <f t="shared" si="0"/>
        <v>12</v>
      </c>
      <c r="S5" s="428"/>
      <c r="T5" s="331"/>
    </row>
    <row r="6" spans="1:20" ht="31.5" customHeight="1" thickBot="1">
      <c r="A6" s="314"/>
      <c r="B6" s="199"/>
      <c r="C6" s="146" t="str">
        <f>Data!B13</f>
        <v>References</v>
      </c>
      <c r="D6" s="147" t="str">
        <f>Data!C13</f>
        <v>References (in-text and bibliography) properly cited in IEEE style. Proper use of the Zotero citation management tool</v>
      </c>
      <c r="E6" s="148" t="s">
        <v>22</v>
      </c>
      <c r="F6" s="149"/>
      <c r="G6" s="149"/>
      <c r="H6" s="149"/>
      <c r="I6" s="149"/>
      <c r="J6" s="149"/>
      <c r="K6" s="149"/>
      <c r="L6" s="149"/>
      <c r="M6" s="149"/>
      <c r="N6" s="149"/>
      <c r="O6" s="149"/>
      <c r="P6" s="149"/>
      <c r="Q6" s="150"/>
      <c r="R6" s="29">
        <f t="shared" si="0"/>
        <v>12</v>
      </c>
      <c r="S6" s="429"/>
      <c r="T6" s="330"/>
    </row>
    <row r="7" spans="1:20" ht="31.5" customHeight="1" thickTop="1" thickBot="1">
      <c r="A7" s="136" t="s">
        <v>20</v>
      </c>
      <c r="B7" s="388"/>
      <c r="C7" s="346"/>
      <c r="D7" s="346"/>
      <c r="E7" s="346"/>
      <c r="F7" s="346"/>
      <c r="G7" s="346"/>
      <c r="H7" s="346"/>
      <c r="I7" s="346"/>
      <c r="J7" s="346"/>
      <c r="K7" s="346"/>
      <c r="L7" s="346"/>
      <c r="M7" s="346"/>
      <c r="N7" s="346"/>
      <c r="O7" s="346"/>
      <c r="P7" s="346"/>
      <c r="Q7" s="346"/>
      <c r="R7" s="346"/>
      <c r="S7" s="346"/>
      <c r="T7" s="430"/>
    </row>
    <row r="8" spans="1:20" ht="31.5" customHeight="1" thickTop="1">
      <c r="A8" s="315" t="s">
        <v>23</v>
      </c>
      <c r="B8" s="78">
        <f>Data!A23</f>
        <v>1.1000000000000001</v>
      </c>
      <c r="C8" s="80" t="str">
        <f>Data!B23</f>
        <v>Problem Description</v>
      </c>
      <c r="D8" s="82" t="str">
        <f>Data!C23</f>
        <v>Includes context to the problem, reason for the problem, need for this project, defines who is impacted by the problem (customer / market) and how.</v>
      </c>
      <c r="E8" s="131" t="s">
        <v>22</v>
      </c>
      <c r="F8" s="178"/>
      <c r="G8" s="178"/>
      <c r="H8" s="178"/>
      <c r="I8" s="178"/>
      <c r="J8" s="178"/>
      <c r="K8" s="178"/>
      <c r="L8" s="178"/>
      <c r="M8" s="178"/>
      <c r="N8" s="178"/>
      <c r="O8" s="178"/>
      <c r="P8" s="178"/>
      <c r="Q8" s="154"/>
      <c r="R8" s="28">
        <f t="shared" si="0"/>
        <v>12</v>
      </c>
      <c r="S8" s="364">
        <v>1</v>
      </c>
      <c r="T8" s="329">
        <f>AVERAGE(R8:R11)*S8</f>
        <v>12</v>
      </c>
    </row>
    <row r="9" spans="1:20" ht="46.8">
      <c r="A9" s="316"/>
      <c r="B9" s="79">
        <f>Data!A24</f>
        <v>1.2</v>
      </c>
      <c r="C9" s="81" t="str">
        <f>Data!B24</f>
        <v>Problem Statement</v>
      </c>
      <c r="D9" s="83" t="str">
        <f>Data!C24</f>
        <v>Describes the problem in technical detail and Quantifies the impact on the customer/market. Introduce critical performance metrics. Defines the end-user population (e.g., person, environment, or organization).</v>
      </c>
      <c r="E9" s="130" t="s">
        <v>22</v>
      </c>
      <c r="F9" s="134"/>
      <c r="G9" s="134"/>
      <c r="H9" s="134"/>
      <c r="I9" s="27"/>
      <c r="J9" s="134"/>
      <c r="K9" s="134"/>
      <c r="L9" s="134"/>
      <c r="M9" s="134"/>
      <c r="N9" s="134"/>
      <c r="O9" s="134"/>
      <c r="P9" s="134"/>
      <c r="Q9" s="158"/>
      <c r="R9" s="32">
        <f t="shared" si="0"/>
        <v>12</v>
      </c>
      <c r="S9" s="428"/>
      <c r="T9" s="331"/>
    </row>
    <row r="10" spans="1:20" ht="46.8">
      <c r="A10" s="316"/>
      <c r="B10" s="79">
        <f>Data!A25</f>
        <v>1.3</v>
      </c>
      <c r="C10" s="81" t="str">
        <f>Data!B25</f>
        <v>Scope of Work</v>
      </c>
      <c r="D10" s="83" t="str">
        <f>Data!C25</f>
        <v xml:space="preserve">Describes the approach to solve this problem, the projected timeline plan, and the assumptions, limitations, and constraints of the project.  Describes the services and/or materials to be obtained from the client.  </v>
      </c>
      <c r="E10" s="130" t="s">
        <v>29</v>
      </c>
      <c r="F10" s="134"/>
      <c r="G10" s="134"/>
      <c r="H10" s="134"/>
      <c r="I10" s="27"/>
      <c r="J10" s="134"/>
      <c r="K10" s="134"/>
      <c r="L10" s="134"/>
      <c r="M10" s="134"/>
      <c r="N10" s="134"/>
      <c r="O10" s="134"/>
      <c r="P10" s="134"/>
      <c r="Q10" s="158"/>
      <c r="R10" s="32">
        <f t="shared" si="0"/>
        <v>12</v>
      </c>
      <c r="S10" s="428"/>
      <c r="T10" s="331"/>
    </row>
    <row r="11" spans="1:20" ht="94.2" thickBot="1">
      <c r="A11" s="314"/>
      <c r="B11" s="56">
        <f>Data!A38</f>
        <v>5.0999999999999996</v>
      </c>
      <c r="C11" s="56" t="str">
        <f>Data!B38</f>
        <v>System Decomposition</v>
      </c>
      <c r="D11" s="75" t="str">
        <f>Data!C38</f>
        <v xml:space="preserve">Decompose the complexity of the system/problem by describing its constituent components. Break down the complex system/problem into smaller, more manageable parts by building a hierarchical representation of critical subsystems. Depending on the system, you may consider developing a functional decomposition, assembly decomposition, or service-based decomposition.  </v>
      </c>
      <c r="E11" s="148" t="s">
        <v>22</v>
      </c>
      <c r="F11" s="149"/>
      <c r="G11" s="149"/>
      <c r="H11" s="149"/>
      <c r="I11" s="149"/>
      <c r="J11" s="149"/>
      <c r="K11" s="149"/>
      <c r="L11" s="149"/>
      <c r="M11" s="149"/>
      <c r="N11" s="149"/>
      <c r="O11" s="149"/>
      <c r="P11" s="149"/>
      <c r="Q11" s="150"/>
      <c r="R11" s="29">
        <f t="shared" si="0"/>
        <v>12</v>
      </c>
      <c r="S11" s="429"/>
      <c r="T11" s="330"/>
    </row>
    <row r="12" spans="1:20" ht="31.5" customHeight="1" thickTop="1" thickBot="1">
      <c r="A12" s="136" t="s">
        <v>20</v>
      </c>
      <c r="B12" s="388"/>
      <c r="C12" s="346"/>
      <c r="D12" s="346"/>
      <c r="E12" s="346"/>
      <c r="F12" s="346"/>
      <c r="G12" s="346"/>
      <c r="H12" s="346"/>
      <c r="I12" s="346"/>
      <c r="J12" s="346"/>
      <c r="K12" s="346"/>
      <c r="L12" s="346"/>
      <c r="M12" s="346"/>
      <c r="N12" s="346"/>
      <c r="O12" s="346"/>
      <c r="P12" s="346"/>
      <c r="Q12" s="346"/>
      <c r="R12" s="346"/>
      <c r="S12" s="346"/>
      <c r="T12" s="430"/>
    </row>
    <row r="13" spans="1:20" ht="63" thickTop="1">
      <c r="A13" s="417" t="s">
        <v>38</v>
      </c>
      <c r="B13" s="85"/>
      <c r="C13" s="88" t="s">
        <v>52</v>
      </c>
      <c r="D13" s="91" t="str">
        <f>Data!C21</f>
        <v>Presents the evolution of your design by illustrating the developments made throughout the exploratory/conceptual/down-selection design phases. Points out the strengths and weaknesses of each design. Provides evidence to validate the concept selection.</v>
      </c>
      <c r="E13" s="94" t="s">
        <v>22</v>
      </c>
      <c r="F13" s="95"/>
      <c r="G13" s="95"/>
      <c r="H13" s="95"/>
      <c r="I13" s="95"/>
      <c r="J13" s="95"/>
      <c r="K13" s="95"/>
      <c r="L13" s="95"/>
      <c r="M13" s="95"/>
      <c r="N13" s="95"/>
      <c r="O13" s="95"/>
      <c r="P13" s="95"/>
      <c r="Q13" s="96"/>
      <c r="R13" s="94">
        <f t="shared" si="0"/>
        <v>12</v>
      </c>
      <c r="S13" s="362">
        <v>2.5</v>
      </c>
      <c r="T13" s="422">
        <f>AVERAGE(R13:R15)*S13</f>
        <v>30</v>
      </c>
    </row>
    <row r="14" spans="1:20" ht="50.4" customHeight="1">
      <c r="A14" s="418"/>
      <c r="B14" s="86"/>
      <c r="C14" s="89" t="s">
        <v>53</v>
      </c>
      <c r="D14" s="92" t="s">
        <v>54</v>
      </c>
      <c r="E14" s="97" t="s">
        <v>22</v>
      </c>
      <c r="F14" s="76"/>
      <c r="G14" s="76"/>
      <c r="H14" s="76"/>
      <c r="I14" s="76"/>
      <c r="J14" s="76"/>
      <c r="K14" s="76"/>
      <c r="L14" s="76"/>
      <c r="M14" s="76"/>
      <c r="N14" s="76"/>
      <c r="O14" s="76"/>
      <c r="P14" s="76"/>
      <c r="Q14" s="98"/>
      <c r="R14" s="97">
        <f t="shared" si="0"/>
        <v>12</v>
      </c>
      <c r="S14" s="379"/>
      <c r="T14" s="423"/>
    </row>
    <row r="15" spans="1:20" ht="29.4" thickBot="1">
      <c r="A15" s="431"/>
      <c r="B15" s="87"/>
      <c r="C15" s="90" t="s">
        <v>55</v>
      </c>
      <c r="D15" s="93" t="s">
        <v>56</v>
      </c>
      <c r="E15" s="99" t="s">
        <v>22</v>
      </c>
      <c r="F15" s="100"/>
      <c r="G15" s="100"/>
      <c r="H15" s="100"/>
      <c r="I15" s="100"/>
      <c r="J15" s="100"/>
      <c r="K15" s="100"/>
      <c r="L15" s="100"/>
      <c r="M15" s="100"/>
      <c r="N15" s="100"/>
      <c r="O15" s="100"/>
      <c r="P15" s="100"/>
      <c r="Q15" s="101"/>
      <c r="R15" s="99">
        <f t="shared" si="0"/>
        <v>12</v>
      </c>
      <c r="S15" s="432"/>
      <c r="T15" s="433"/>
    </row>
    <row r="16" spans="1:20" ht="31.5" customHeight="1" thickTop="1" thickBot="1">
      <c r="A16" s="102" t="s">
        <v>20</v>
      </c>
      <c r="B16" s="434"/>
      <c r="C16" s="435"/>
      <c r="D16" s="435"/>
      <c r="E16" s="435"/>
      <c r="F16" s="435"/>
      <c r="G16" s="435"/>
      <c r="H16" s="435"/>
      <c r="I16" s="435"/>
      <c r="J16" s="435"/>
      <c r="K16" s="435"/>
      <c r="L16" s="435"/>
      <c r="M16" s="435"/>
      <c r="N16" s="435"/>
      <c r="O16" s="435"/>
      <c r="P16" s="435"/>
      <c r="Q16" s="435"/>
      <c r="R16" s="435"/>
      <c r="S16" s="435"/>
      <c r="T16" s="436"/>
    </row>
    <row r="17" spans="1:20" ht="63" thickTop="1">
      <c r="A17" s="417" t="s">
        <v>57</v>
      </c>
      <c r="B17" s="85"/>
      <c r="C17" s="33" t="str">
        <f>Data!B16</f>
        <v>Comparison of results</v>
      </c>
      <c r="D17" s="104" t="str">
        <f>Data!C16</f>
        <v xml:space="preserve">Compare your experimental results to the theory. Describe the mathematical model(s) used to predict product performance (e.g., FEA, Electrical simulations, Mechanical analysis). Describe the experiments and measurements that support the design methodology. </v>
      </c>
      <c r="E17" s="94" t="s">
        <v>22</v>
      </c>
      <c r="F17" s="95"/>
      <c r="G17" s="95"/>
      <c r="H17" s="95"/>
      <c r="I17" s="95"/>
      <c r="J17" s="95"/>
      <c r="K17" s="95"/>
      <c r="L17" s="95"/>
      <c r="M17" s="95"/>
      <c r="N17" s="95"/>
      <c r="O17" s="95"/>
      <c r="P17" s="95"/>
      <c r="Q17" s="96"/>
      <c r="R17" s="94">
        <f t="shared" ref="R17:R21" si="1">IF(E17="x",12,IF(F17="x",11,IF(G17="x",10,IF(H17="x",9,IF(I17="x",8,IF(J17="x",7,IF(K17="x",6,IF(L17="x",5,IF(M17="x",4,IF(N17="x",3,IF(O17="x",2,IF(P17="x",1,IF(Q17="x",0,"")))))))))))))</f>
        <v>12</v>
      </c>
      <c r="S17" s="362">
        <v>2.5</v>
      </c>
      <c r="T17" s="422">
        <f>AVERAGE(R17:R19)*S17</f>
        <v>30</v>
      </c>
    </row>
    <row r="18" spans="1:20" ht="51.6" customHeight="1">
      <c r="A18" s="418"/>
      <c r="B18" s="84"/>
      <c r="C18" s="103" t="s">
        <v>58</v>
      </c>
      <c r="D18" s="92" t="str">
        <f>Data!C70</f>
        <v>List most important lessons learned by sharing experiences of how new and improved techniques or processes were developed and how they were instrumental in achieving your design requirements.</v>
      </c>
      <c r="E18" s="97" t="s">
        <v>29</v>
      </c>
      <c r="F18" s="76"/>
      <c r="G18" s="76"/>
      <c r="H18" s="76"/>
      <c r="I18" s="76"/>
      <c r="J18" s="76"/>
      <c r="K18" s="76"/>
      <c r="L18" s="76"/>
      <c r="M18" s="76"/>
      <c r="N18" s="76"/>
      <c r="O18" s="76"/>
      <c r="P18" s="76"/>
      <c r="Q18" s="98"/>
      <c r="R18" s="97">
        <f t="shared" si="1"/>
        <v>12</v>
      </c>
      <c r="S18" s="420"/>
      <c r="T18" s="423"/>
    </row>
    <row r="19" spans="1:20" ht="47.4" thickBot="1">
      <c r="A19" s="419"/>
      <c r="B19" s="105"/>
      <c r="C19" s="106" t="s">
        <v>59</v>
      </c>
      <c r="D19" s="107" t="s">
        <v>60</v>
      </c>
      <c r="E19" s="108" t="s">
        <v>29</v>
      </c>
      <c r="F19" s="77"/>
      <c r="G19" s="77"/>
      <c r="H19" s="77"/>
      <c r="I19" s="77"/>
      <c r="J19" s="77"/>
      <c r="K19" s="77"/>
      <c r="L19" s="77"/>
      <c r="M19" s="77"/>
      <c r="N19" s="77"/>
      <c r="O19" s="77"/>
      <c r="P19" s="77"/>
      <c r="Q19" s="109"/>
      <c r="R19" s="108">
        <f t="shared" si="1"/>
        <v>12</v>
      </c>
      <c r="S19" s="421"/>
      <c r="T19" s="424"/>
    </row>
    <row r="20" spans="1:20" ht="31.5" customHeight="1" thickTop="1" thickBot="1">
      <c r="A20" s="136" t="s">
        <v>20</v>
      </c>
      <c r="B20" s="388"/>
      <c r="C20" s="346"/>
      <c r="D20" s="346"/>
      <c r="E20" s="346"/>
      <c r="F20" s="346"/>
      <c r="G20" s="346"/>
      <c r="H20" s="346"/>
      <c r="I20" s="346"/>
      <c r="J20" s="346"/>
      <c r="K20" s="346"/>
      <c r="L20" s="346"/>
      <c r="M20" s="346"/>
      <c r="N20" s="346"/>
      <c r="O20" s="346"/>
      <c r="P20" s="346"/>
      <c r="Q20" s="346"/>
      <c r="R20" s="346"/>
      <c r="S20" s="346"/>
      <c r="T20" s="430"/>
    </row>
    <row r="21" spans="1:20" ht="16.8" thickTop="1" thickBot="1">
      <c r="A21" s="174" t="s">
        <v>61</v>
      </c>
      <c r="B21" s="167"/>
      <c r="C21" s="245" t="str">
        <f>Data!B14</f>
        <v>Demo Video</v>
      </c>
      <c r="D21" s="245" t="str">
        <f>Data!C14</f>
        <v>Video uploaded into the proper location(s)</v>
      </c>
      <c r="E21" s="111" t="s">
        <v>22</v>
      </c>
      <c r="F21" s="177"/>
      <c r="G21" s="137"/>
      <c r="H21" s="137"/>
      <c r="I21" s="137"/>
      <c r="J21" s="137"/>
      <c r="K21" s="137"/>
      <c r="L21" s="137"/>
      <c r="M21" s="137"/>
      <c r="N21" s="137"/>
      <c r="O21" s="137"/>
      <c r="P21" s="137"/>
      <c r="Q21" s="246"/>
      <c r="R21" s="45">
        <f t="shared" si="1"/>
        <v>12</v>
      </c>
      <c r="S21" s="64">
        <v>0.5</v>
      </c>
      <c r="T21" s="247">
        <f>AVERAGE(R21:R21)*S21</f>
        <v>6</v>
      </c>
    </row>
    <row r="22" spans="1:20" ht="16.2" thickTop="1">
      <c r="A22" s="315" t="s">
        <v>20</v>
      </c>
      <c r="B22" s="437"/>
      <c r="C22" s="321"/>
      <c r="D22" s="321"/>
      <c r="E22" s="321"/>
      <c r="F22" s="321"/>
      <c r="G22" s="321"/>
      <c r="H22" s="321"/>
      <c r="I22" s="321"/>
      <c r="J22" s="321"/>
      <c r="K22" s="321"/>
      <c r="L22" s="321"/>
      <c r="M22" s="321"/>
      <c r="N22" s="321"/>
      <c r="O22" s="321"/>
      <c r="P22" s="321"/>
      <c r="Q22" s="322"/>
      <c r="R22" s="366" t="s">
        <v>30</v>
      </c>
      <c r="S22" s="367"/>
      <c r="T22" s="67">
        <f>SUM(T4:T21)</f>
        <v>96</v>
      </c>
    </row>
    <row r="23" spans="1:20" ht="15.6">
      <c r="A23" s="318"/>
      <c r="B23" s="323"/>
      <c r="C23" s="324"/>
      <c r="D23" s="324"/>
      <c r="E23" s="324"/>
      <c r="F23" s="324"/>
      <c r="G23" s="324"/>
      <c r="H23" s="324"/>
      <c r="I23" s="324"/>
      <c r="J23" s="324"/>
      <c r="K23" s="324"/>
      <c r="L23" s="324"/>
      <c r="M23" s="324"/>
      <c r="N23" s="324"/>
      <c r="O23" s="324"/>
      <c r="P23" s="324"/>
      <c r="Q23" s="325"/>
      <c r="R23" s="368" t="s">
        <v>31</v>
      </c>
      <c r="S23" s="369"/>
      <c r="T23" s="68">
        <v>96</v>
      </c>
    </row>
    <row r="24" spans="1:20" ht="16.2" thickBot="1">
      <c r="A24" s="319"/>
      <c r="B24" s="326"/>
      <c r="C24" s="327"/>
      <c r="D24" s="327"/>
      <c r="E24" s="327"/>
      <c r="F24" s="327"/>
      <c r="G24" s="327"/>
      <c r="H24" s="327"/>
      <c r="I24" s="327"/>
      <c r="J24" s="327"/>
      <c r="K24" s="327"/>
      <c r="L24" s="327"/>
      <c r="M24" s="327"/>
      <c r="N24" s="327"/>
      <c r="O24" s="327"/>
      <c r="P24" s="327"/>
      <c r="Q24" s="328"/>
      <c r="R24" s="370" t="s">
        <v>32</v>
      </c>
      <c r="S24" s="371"/>
      <c r="T24" s="69">
        <f>T22/T23</f>
        <v>1</v>
      </c>
    </row>
    <row r="25" spans="1:20" ht="15" thickTop="1"/>
    <row r="29" spans="1:20" ht="15" thickBot="1"/>
    <row r="30" spans="1:20" ht="15.6" thickTop="1" thickBot="1">
      <c r="E30" s="110"/>
    </row>
    <row r="31" spans="1:20" ht="15" thickTop="1"/>
  </sheetData>
  <mergeCells count="22">
    <mergeCell ref="B20:T20"/>
    <mergeCell ref="A22:A24"/>
    <mergeCell ref="B22:Q24"/>
    <mergeCell ref="R22:S22"/>
    <mergeCell ref="R23:S23"/>
    <mergeCell ref="R24:S24"/>
    <mergeCell ref="A17:A19"/>
    <mergeCell ref="S17:S19"/>
    <mergeCell ref="T17:T19"/>
    <mergeCell ref="A2:T2"/>
    <mergeCell ref="A4:A6"/>
    <mergeCell ref="S4:S6"/>
    <mergeCell ref="T4:T6"/>
    <mergeCell ref="B7:T7"/>
    <mergeCell ref="A8:A11"/>
    <mergeCell ref="S8:S11"/>
    <mergeCell ref="T8:T11"/>
    <mergeCell ref="B12:T12"/>
    <mergeCell ref="A13:A15"/>
    <mergeCell ref="S13:S15"/>
    <mergeCell ref="T13:T15"/>
    <mergeCell ref="B16:T16"/>
  </mergeCells>
  <printOptions horizontalCentered="1"/>
  <pageMargins left="0.45" right="0.45" top="0.5" bottom="0.5" header="0.3" footer="0.3"/>
  <pageSetup scale="58" fitToHeight="2"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79998168889431442"/>
    <pageSetUpPr fitToPage="1"/>
  </sheetPr>
  <dimension ref="A1:Y48"/>
  <sheetViews>
    <sheetView zoomScaleNormal="100" workbookViewId="0">
      <pane xSplit="1" ySplit="3" topLeftCell="B23" activePane="bottomRight" state="frozen"/>
      <selection pane="topRight" activeCell="C1" sqref="C1"/>
      <selection pane="bottomLeft" activeCell="A4" sqref="A4"/>
      <selection pane="bottomRight" activeCell="A25" sqref="A25:A29"/>
    </sheetView>
  </sheetViews>
  <sheetFormatPr defaultColWidth="8.6640625" defaultRowHeight="14.4"/>
  <cols>
    <col min="1" max="1" width="26.6640625" style="5" customWidth="1"/>
    <col min="2" max="2" width="7.44140625" style="3" customWidth="1"/>
    <col min="3" max="3" width="26.33203125" bestFit="1" customWidth="1"/>
    <col min="4" max="4" width="71.6640625" customWidth="1"/>
    <col min="5" max="5" width="12.33203125" bestFit="1" customWidth="1"/>
    <col min="6" max="6" width="4.6640625" customWidth="1"/>
    <col min="7" max="7" width="4.44140625" customWidth="1"/>
    <col min="8" max="16" width="3.44140625" bestFit="1" customWidth="1"/>
    <col min="17" max="17" width="8.6640625" bestFit="1" customWidth="1"/>
    <col min="18" max="18" width="6.33203125" bestFit="1" customWidth="1"/>
    <col min="19" max="19" width="8.6640625" customWidth="1"/>
    <col min="20" max="20" width="6.88671875" customWidth="1"/>
  </cols>
  <sheetData>
    <row r="1" spans="1:20" ht="15" thickBot="1"/>
    <row r="2" spans="1:20" ht="34.200000000000003" thickBot="1">
      <c r="A2" s="442" t="s">
        <v>62</v>
      </c>
      <c r="B2" s="443"/>
      <c r="C2" s="443"/>
      <c r="D2" s="443"/>
      <c r="E2" s="443"/>
      <c r="F2" s="443"/>
      <c r="G2" s="443"/>
      <c r="H2" s="443"/>
      <c r="I2" s="443"/>
      <c r="J2" s="443"/>
      <c r="K2" s="443"/>
      <c r="L2" s="443"/>
      <c r="M2" s="443"/>
      <c r="N2" s="443"/>
      <c r="O2" s="443"/>
      <c r="P2" s="443"/>
      <c r="Q2" s="443"/>
      <c r="R2" s="443"/>
      <c r="S2" s="443"/>
      <c r="T2" s="444"/>
    </row>
    <row r="3" spans="1:20" ht="63.6" thickTop="1" thickBot="1">
      <c r="A3" s="136" t="s">
        <v>1</v>
      </c>
      <c r="B3" s="136" t="s">
        <v>35</v>
      </c>
      <c r="C3" s="136" t="s">
        <v>3</v>
      </c>
      <c r="D3" s="136" t="s">
        <v>51</v>
      </c>
      <c r="E3" s="133" t="s">
        <v>5</v>
      </c>
      <c r="F3" s="137" t="s">
        <v>6</v>
      </c>
      <c r="G3" s="137" t="s">
        <v>7</v>
      </c>
      <c r="H3" s="137" t="s">
        <v>8</v>
      </c>
      <c r="I3" s="137" t="s">
        <v>9</v>
      </c>
      <c r="J3" s="137" t="s">
        <v>10</v>
      </c>
      <c r="K3" s="137" t="s">
        <v>11</v>
      </c>
      <c r="L3" s="137" t="s">
        <v>12</v>
      </c>
      <c r="M3" s="137" t="s">
        <v>13</v>
      </c>
      <c r="N3" s="137" t="s">
        <v>14</v>
      </c>
      <c r="O3" s="137" t="s">
        <v>15</v>
      </c>
      <c r="P3" s="137" t="s">
        <v>16</v>
      </c>
      <c r="Q3" s="138" t="s">
        <v>17</v>
      </c>
      <c r="R3" s="133" t="s">
        <v>18</v>
      </c>
      <c r="S3" s="177" t="s">
        <v>42</v>
      </c>
      <c r="T3" s="138" t="s">
        <v>19</v>
      </c>
    </row>
    <row r="4" spans="1:20" ht="16.2" thickTop="1">
      <c r="A4" s="315" t="s">
        <v>43</v>
      </c>
      <c r="B4" s="151" t="str">
        <f>Data!A6</f>
        <v>ii</v>
      </c>
      <c r="C4" s="152" t="str">
        <f>Data!B6</f>
        <v>Executive Summary</v>
      </c>
      <c r="D4" s="445" t="s">
        <v>63</v>
      </c>
      <c r="E4" s="131" t="s">
        <v>22</v>
      </c>
      <c r="F4" s="178"/>
      <c r="G4" s="178"/>
      <c r="H4" s="178"/>
      <c r="I4" s="178"/>
      <c r="J4" s="178"/>
      <c r="K4" s="178"/>
      <c r="L4" s="178"/>
      <c r="M4" s="178"/>
      <c r="N4" s="178"/>
      <c r="O4" s="178"/>
      <c r="P4" s="178"/>
      <c r="Q4" s="154"/>
      <c r="R4" s="28">
        <f>IF(E4="x",12,IF(F4="x",11,IF(G4="x",10,IF(H4="x",9,IF(I4="x",8,IF(J4="x",7,IF(K4="x",6,IF(L4="x",5,IF(M4="x",4,IF(N4="x",3,IF(O4="x",2,IF(P4="x",1,IF(Q4="x",0,"")))))))))))))</f>
        <v>12</v>
      </c>
      <c r="S4" s="364">
        <v>1</v>
      </c>
      <c r="T4" s="329">
        <f>AVERAGE(R4:R13)*S4</f>
        <v>12</v>
      </c>
    </row>
    <row r="5" spans="1:20" ht="31.2">
      <c r="A5" s="316"/>
      <c r="B5" s="155">
        <f>Data!A28</f>
        <v>2.1</v>
      </c>
      <c r="C5" s="156" t="str">
        <f>Data!B28</f>
        <v>Review of the Problem Area</v>
      </c>
      <c r="D5" s="446"/>
      <c r="E5" s="130" t="s">
        <v>22</v>
      </c>
      <c r="F5" s="134"/>
      <c r="G5" s="134"/>
      <c r="H5" s="134"/>
      <c r="I5" s="134"/>
      <c r="J5" s="134"/>
      <c r="K5" s="134"/>
      <c r="L5" s="134"/>
      <c r="M5" s="134"/>
      <c r="N5" s="134"/>
      <c r="O5" s="134"/>
      <c r="P5" s="134"/>
      <c r="Q5" s="158"/>
      <c r="R5" s="32">
        <f t="shared" ref="R5:R42" si="0">IF(E5="x",12,IF(F5="x",11,IF(G5="x",10,IF(H5="x",9,IF(I5="x",8,IF(J5="x",7,IF(K5="x",6,IF(L5="x",5,IF(M5="x",4,IF(N5="x",3,IF(O5="x",2,IF(P5="x",1,IF(Q5="x",0,"")))))))))))))</f>
        <v>12</v>
      </c>
      <c r="S5" s="375"/>
      <c r="T5" s="331"/>
    </row>
    <row r="6" spans="1:20" ht="15.6">
      <c r="A6" s="316"/>
      <c r="B6" s="155">
        <f>Data!A29</f>
        <v>2.2000000000000002</v>
      </c>
      <c r="C6" s="156" t="str">
        <f>Data!B29</f>
        <v>Review of State-of-the-Art</v>
      </c>
      <c r="D6" s="446"/>
      <c r="E6" s="130" t="s">
        <v>22</v>
      </c>
      <c r="F6" s="134"/>
      <c r="G6" s="134"/>
      <c r="H6" s="134"/>
      <c r="I6" s="134"/>
      <c r="J6" s="134"/>
      <c r="K6" s="134"/>
      <c r="L6" s="134"/>
      <c r="M6" s="134"/>
      <c r="N6" s="134"/>
      <c r="O6" s="134"/>
      <c r="P6" s="134"/>
      <c r="Q6" s="158"/>
      <c r="R6" s="32">
        <f t="shared" si="0"/>
        <v>12</v>
      </c>
      <c r="S6" s="375"/>
      <c r="T6" s="331"/>
    </row>
    <row r="7" spans="1:20" ht="15.6">
      <c r="A7" s="316"/>
      <c r="B7" s="155">
        <f>Data!A31</f>
        <v>3.1</v>
      </c>
      <c r="C7" s="156" t="str">
        <f>Data!B31</f>
        <v xml:space="preserve">Requirements Matrix </v>
      </c>
      <c r="D7" s="446"/>
      <c r="E7" s="130" t="s">
        <v>22</v>
      </c>
      <c r="F7" s="134"/>
      <c r="G7" s="134"/>
      <c r="H7" s="134"/>
      <c r="I7" s="134"/>
      <c r="J7" s="134"/>
      <c r="K7" s="134"/>
      <c r="L7" s="134"/>
      <c r="M7" s="134"/>
      <c r="N7" s="134"/>
      <c r="O7" s="134"/>
      <c r="P7" s="134"/>
      <c r="Q7" s="158"/>
      <c r="R7" s="32">
        <f t="shared" si="0"/>
        <v>12</v>
      </c>
      <c r="S7" s="375"/>
      <c r="T7" s="331"/>
    </row>
    <row r="8" spans="1:20" ht="15.6">
      <c r="A8" s="316"/>
      <c r="B8" s="155">
        <f>Data!A32</f>
        <v>3.2</v>
      </c>
      <c r="C8" s="156" t="str">
        <f>Data!B32</f>
        <v>Exploratory Concepts</v>
      </c>
      <c r="D8" s="446"/>
      <c r="E8" s="130" t="s">
        <v>22</v>
      </c>
      <c r="F8" s="134"/>
      <c r="G8" s="134"/>
      <c r="H8" s="134"/>
      <c r="I8" s="134"/>
      <c r="J8" s="134"/>
      <c r="K8" s="134"/>
      <c r="L8" s="134"/>
      <c r="M8" s="134"/>
      <c r="N8" s="134"/>
      <c r="O8" s="134"/>
      <c r="P8" s="134"/>
      <c r="Q8" s="158"/>
      <c r="R8" s="32">
        <f t="shared" si="0"/>
        <v>12</v>
      </c>
      <c r="S8" s="375"/>
      <c r="T8" s="331"/>
    </row>
    <row r="9" spans="1:20" ht="15.6">
      <c r="A9" s="316"/>
      <c r="B9" s="155">
        <f>Data!A33</f>
        <v>3.3</v>
      </c>
      <c r="C9" s="248" t="str">
        <f>Data!B33</f>
        <v>Resource Requirements</v>
      </c>
      <c r="D9" s="446"/>
      <c r="E9" s="130" t="s">
        <v>22</v>
      </c>
      <c r="F9" s="134"/>
      <c r="G9" s="134"/>
      <c r="H9" s="134"/>
      <c r="I9" s="134"/>
      <c r="J9" s="134"/>
      <c r="K9" s="134"/>
      <c r="L9" s="134"/>
      <c r="M9" s="134"/>
      <c r="N9" s="134"/>
      <c r="O9" s="134"/>
      <c r="P9" s="134"/>
      <c r="Q9" s="158"/>
      <c r="R9" s="32">
        <f t="shared" si="0"/>
        <v>12</v>
      </c>
      <c r="S9" s="375"/>
      <c r="T9" s="331"/>
    </row>
    <row r="10" spans="1:20" ht="15.6">
      <c r="A10" s="316"/>
      <c r="B10" s="244">
        <f>Data!A39</f>
        <v>5.2</v>
      </c>
      <c r="C10" s="201" t="str">
        <f>Data!B39</f>
        <v>Conceptual Design</v>
      </c>
      <c r="D10" s="446"/>
      <c r="E10" s="130"/>
      <c r="F10" s="134"/>
      <c r="G10" s="134"/>
      <c r="H10" s="134"/>
      <c r="I10" s="134"/>
      <c r="J10" s="134"/>
      <c r="K10" s="134"/>
      <c r="L10" s="134"/>
      <c r="M10" s="134"/>
      <c r="N10" s="134"/>
      <c r="O10" s="134"/>
      <c r="P10" s="134"/>
      <c r="Q10" s="158"/>
      <c r="R10" s="32" t="str">
        <f t="shared" si="0"/>
        <v/>
      </c>
      <c r="S10" s="375"/>
      <c r="T10" s="331"/>
    </row>
    <row r="11" spans="1:20" ht="15.6">
      <c r="A11" s="316"/>
      <c r="B11" s="244">
        <f>Data!A40</f>
        <v>5.3</v>
      </c>
      <c r="C11" s="201" t="str">
        <f>Data!B40</f>
        <v>Down Selection Process</v>
      </c>
      <c r="D11" s="446"/>
      <c r="E11" s="130" t="s">
        <v>22</v>
      </c>
      <c r="F11" s="134"/>
      <c r="G11" s="134"/>
      <c r="H11" s="134"/>
      <c r="I11" s="134"/>
      <c r="J11" s="134"/>
      <c r="K11" s="134"/>
      <c r="L11" s="134"/>
      <c r="M11" s="134"/>
      <c r="N11" s="134"/>
      <c r="O11" s="134"/>
      <c r="P11" s="134"/>
      <c r="Q11" s="158"/>
      <c r="R11" s="32">
        <f t="shared" si="0"/>
        <v>12</v>
      </c>
      <c r="S11" s="375"/>
      <c r="T11" s="331"/>
    </row>
    <row r="12" spans="1:20" ht="31.2">
      <c r="A12" s="316"/>
      <c r="B12" s="155">
        <f>Data!A67</f>
        <v>10.3</v>
      </c>
      <c r="C12" s="156" t="str">
        <f>Data!B67</f>
        <v>MS Teams File Documentation</v>
      </c>
      <c r="D12" s="446"/>
      <c r="E12" s="130" t="s">
        <v>22</v>
      </c>
      <c r="F12" s="134"/>
      <c r="G12" s="134"/>
      <c r="H12" s="134"/>
      <c r="I12" s="134"/>
      <c r="J12" s="134"/>
      <c r="K12" s="134"/>
      <c r="L12" s="134"/>
      <c r="M12" s="134"/>
      <c r="N12" s="134"/>
      <c r="O12" s="134"/>
      <c r="P12" s="134"/>
      <c r="Q12" s="158"/>
      <c r="R12" s="32">
        <f t="shared" si="0"/>
        <v>12</v>
      </c>
      <c r="S12" s="375"/>
      <c r="T12" s="331"/>
    </row>
    <row r="13" spans="1:20" ht="16.2" thickBot="1">
      <c r="A13" s="314"/>
      <c r="B13" s="199" t="s">
        <v>64</v>
      </c>
      <c r="C13" s="118" t="s">
        <v>65</v>
      </c>
      <c r="D13" s="447"/>
      <c r="E13" s="148" t="s">
        <v>22</v>
      </c>
      <c r="F13" s="149"/>
      <c r="G13" s="149"/>
      <c r="H13" s="149"/>
      <c r="I13" s="149"/>
      <c r="J13" s="149"/>
      <c r="K13" s="149"/>
      <c r="L13" s="149"/>
      <c r="M13" s="149"/>
      <c r="N13" s="149"/>
      <c r="O13" s="149"/>
      <c r="P13" s="149"/>
      <c r="Q13" s="150"/>
      <c r="R13" s="29">
        <f t="shared" si="0"/>
        <v>12</v>
      </c>
      <c r="S13" s="365"/>
      <c r="T13" s="330"/>
    </row>
    <row r="14" spans="1:20" ht="31.8" thickTop="1">
      <c r="A14" s="315" t="s">
        <v>38</v>
      </c>
      <c r="B14" s="198">
        <f>Data!A41</f>
        <v>5.4</v>
      </c>
      <c r="C14" s="165" t="str">
        <f>Data!B41</f>
        <v xml:space="preserve">Final Design Description </v>
      </c>
      <c r="D14" s="165" t="str">
        <f>Data!C41</f>
        <v xml:space="preserve">Describes all aspects of the final design and how it meets the client's requirements. </v>
      </c>
      <c r="E14" s="131" t="s">
        <v>22</v>
      </c>
      <c r="F14" s="178"/>
      <c r="G14" s="178"/>
      <c r="H14" s="178"/>
      <c r="I14" s="178"/>
      <c r="J14" s="178"/>
      <c r="K14" s="178"/>
      <c r="L14" s="178"/>
      <c r="M14" s="178"/>
      <c r="N14" s="178"/>
      <c r="O14" s="178"/>
      <c r="P14" s="178"/>
      <c r="Q14" s="154"/>
      <c r="R14" s="28">
        <f t="shared" si="0"/>
        <v>12</v>
      </c>
      <c r="S14" s="364">
        <v>1</v>
      </c>
      <c r="T14" s="329">
        <f>AVERAGE(R14:R17)*S14</f>
        <v>12</v>
      </c>
    </row>
    <row r="15" spans="1:20" ht="46.8">
      <c r="A15" s="316"/>
      <c r="B15" s="244">
        <f>Data!A42</f>
        <v>5.5</v>
      </c>
      <c r="C15" s="166" t="str">
        <f>Data!B42</f>
        <v xml:space="preserve">Design Calculations &amp; Analysis Results </v>
      </c>
      <c r="D15" s="166" t="str">
        <f>Data!C42</f>
        <v>Provide and describe the analytical models used to support the design. (FEA, Electrical simulations, Mechanical analysis) Provide and describe the experiments and measurements that support the design.</v>
      </c>
      <c r="E15" s="130" t="s">
        <v>22</v>
      </c>
      <c r="F15" s="134"/>
      <c r="G15" s="134"/>
      <c r="H15" s="134"/>
      <c r="I15" s="134"/>
      <c r="J15" s="134"/>
      <c r="K15" s="134"/>
      <c r="L15" s="134"/>
      <c r="M15" s="134"/>
      <c r="N15" s="134"/>
      <c r="O15" s="134"/>
      <c r="P15" s="134"/>
      <c r="Q15" s="158"/>
      <c r="R15" s="32">
        <f t="shared" si="0"/>
        <v>12</v>
      </c>
      <c r="S15" s="375"/>
      <c r="T15" s="331"/>
    </row>
    <row r="16" spans="1:20" ht="31.2">
      <c r="A16" s="316"/>
      <c r="B16" s="244">
        <f>Data!A43</f>
        <v>5.6</v>
      </c>
      <c r="C16" s="166" t="str">
        <f>Data!B43</f>
        <v>Mathematical Modeling (Lit review)</v>
      </c>
      <c r="D16" s="166" t="str">
        <f>Data!C43</f>
        <v xml:space="preserve">Define all analytical approaches to be used to support confirmation that your system design will meet the client requirements.  </v>
      </c>
      <c r="E16" s="130" t="s">
        <v>22</v>
      </c>
      <c r="F16" s="134"/>
      <c r="G16" s="134"/>
      <c r="H16" s="134"/>
      <c r="I16" s="134"/>
      <c r="J16" s="134"/>
      <c r="K16" s="134"/>
      <c r="L16" s="134"/>
      <c r="M16" s="134"/>
      <c r="N16" s="134"/>
      <c r="O16" s="134"/>
      <c r="P16" s="134"/>
      <c r="Q16" s="158"/>
      <c r="R16" s="32">
        <f t="shared" si="0"/>
        <v>12</v>
      </c>
      <c r="S16" s="375"/>
      <c r="T16" s="331"/>
    </row>
    <row r="17" spans="1:25" ht="31.5" customHeight="1" thickBot="1">
      <c r="A17" s="314"/>
      <c r="B17" s="199">
        <f>Data!A44</f>
        <v>5.7</v>
      </c>
      <c r="C17" s="147" t="str">
        <f>Data!B44</f>
        <v>Critical Issues &amp; Risk Mitigation</v>
      </c>
      <c r="D17" s="147" t="str">
        <f>Data!C44</f>
        <v xml:space="preserve">Explains critical issues that have arisen. Translates critical issues into sequential action items. Explains the affect(s) on the critical path and schedule. </v>
      </c>
      <c r="E17" s="148" t="s">
        <v>22</v>
      </c>
      <c r="F17" s="149"/>
      <c r="G17" s="149"/>
      <c r="H17" s="149"/>
      <c r="I17" s="149"/>
      <c r="J17" s="149"/>
      <c r="K17" s="149"/>
      <c r="L17" s="149"/>
      <c r="M17" s="149"/>
      <c r="N17" s="149"/>
      <c r="O17" s="149"/>
      <c r="P17" s="149"/>
      <c r="Q17" s="150"/>
      <c r="R17" s="29">
        <f t="shared" si="0"/>
        <v>12</v>
      </c>
      <c r="S17" s="365"/>
      <c r="T17" s="330"/>
    </row>
    <row r="18" spans="1:25" ht="63" thickTop="1">
      <c r="A18" s="315" t="s">
        <v>66</v>
      </c>
      <c r="B18" s="151">
        <f>Data!A46</f>
        <v>6.1</v>
      </c>
      <c r="C18" s="152" t="str">
        <f>Data!B46</f>
        <v>Mechanical Design</v>
      </c>
      <c r="D18" s="165" t="str">
        <f>Data!C46</f>
        <v>Provides a mechanical description for the project design with sufficient detail for fabrication/manufacturing/assembly. The descriptions include tolerances, part numbering, and material specifications. Provides a manufacturing plan for each part.</v>
      </c>
      <c r="E18" s="131" t="s">
        <v>22</v>
      </c>
      <c r="F18" s="178"/>
      <c r="G18" s="178"/>
      <c r="H18" s="178"/>
      <c r="I18" s="178"/>
      <c r="J18" s="178"/>
      <c r="K18" s="178"/>
      <c r="L18" s="178"/>
      <c r="M18" s="178"/>
      <c r="N18" s="178"/>
      <c r="O18" s="178"/>
      <c r="P18" s="178"/>
      <c r="Q18" s="154"/>
      <c r="R18" s="28">
        <f t="shared" si="0"/>
        <v>12</v>
      </c>
      <c r="S18" s="364">
        <v>1.5</v>
      </c>
      <c r="T18" s="329">
        <f>AVERAGE(R18:R22)*S18</f>
        <v>18</v>
      </c>
    </row>
    <row r="19" spans="1:25" ht="78">
      <c r="A19" s="316"/>
      <c r="B19" s="155">
        <f>Data!A47</f>
        <v>6.2</v>
      </c>
      <c r="C19" s="156" t="str">
        <f>Data!B47</f>
        <v>Electrical Design</v>
      </c>
      <c r="D19" s="166" t="str">
        <f>Data!C47</f>
        <v>Provides an electrical description for the project design with sufficient detail for fabrication/manufacturing/assembly. Provides complete circuit diagrams. Evaluates the results of circuit breadboards. Provides complete wiring diagrams including cables and connectors. Provides a PC board layout ready for production including mounting points.</v>
      </c>
      <c r="E19" s="130" t="s">
        <v>22</v>
      </c>
      <c r="F19" s="134"/>
      <c r="G19" s="134"/>
      <c r="H19" s="134"/>
      <c r="I19" s="134"/>
      <c r="J19" s="134"/>
      <c r="K19" s="134"/>
      <c r="L19" s="134"/>
      <c r="M19" s="134"/>
      <c r="N19" s="134"/>
      <c r="O19" s="134"/>
      <c r="P19" s="134"/>
      <c r="Q19" s="158"/>
      <c r="R19" s="32">
        <f t="shared" si="0"/>
        <v>12</v>
      </c>
      <c r="S19" s="375"/>
      <c r="T19" s="331"/>
    </row>
    <row r="20" spans="1:25" ht="46.8">
      <c r="A20" s="316"/>
      <c r="B20" s="155">
        <f>Data!A48</f>
        <v>6.3</v>
      </c>
      <c r="C20" s="156" t="str">
        <f>Data!B48</f>
        <v>Software &amp; Programming</v>
      </c>
      <c r="D20" s="166" t="str">
        <f>Data!C48</f>
        <v>Provides a description of the software for the project with sufficient detail for reproducibility and troubleshooting. Includes complete flow diagrams including links and operating interfaces.</v>
      </c>
      <c r="E20" s="130" t="s">
        <v>22</v>
      </c>
      <c r="F20" s="134"/>
      <c r="G20" s="134"/>
      <c r="H20" s="134"/>
      <c r="I20" s="134"/>
      <c r="J20" s="134"/>
      <c r="K20" s="134"/>
      <c r="L20" s="134"/>
      <c r="M20" s="134"/>
      <c r="N20" s="134"/>
      <c r="O20" s="134"/>
      <c r="P20" s="134"/>
      <c r="Q20" s="158"/>
      <c r="R20" s="32">
        <f t="shared" si="0"/>
        <v>12</v>
      </c>
      <c r="S20" s="375"/>
      <c r="T20" s="331"/>
    </row>
    <row r="21" spans="1:25" ht="31.2">
      <c r="A21" s="316"/>
      <c r="B21" s="155">
        <f>Data!A49</f>
        <v>6.4</v>
      </c>
      <c r="C21" s="156" t="str">
        <f>Data!B49</f>
        <v>Technical Data Sheets</v>
      </c>
      <c r="D21" s="166" t="str">
        <f>Data!C49</f>
        <v xml:space="preserve">Introduce the equipment and purpose of use, and reference data sheet in Appendix. </v>
      </c>
      <c r="E21" s="130" t="s">
        <v>22</v>
      </c>
      <c r="F21" s="134"/>
      <c r="G21" s="134"/>
      <c r="H21" s="134"/>
      <c r="I21" s="134"/>
      <c r="J21" s="134"/>
      <c r="K21" s="134"/>
      <c r="L21" s="134"/>
      <c r="M21" s="134"/>
      <c r="N21" s="134"/>
      <c r="O21" s="134"/>
      <c r="P21" s="134"/>
      <c r="Q21" s="158"/>
      <c r="R21" s="32">
        <f>IF(E21="x",12,IF(F21="x",11,IF(G21="x",10,IF(H21="x",9,IF(I21="x",8,IF(J21="x",7,IF(K21="x",6,IF(L21="x",5,IF(M21="x",4,IF(N21="x",3,IF(O21="x",2,IF(P21="x",1,IF(Q21="x",0,"")))))))))))))</f>
        <v>12</v>
      </c>
      <c r="S21" s="375"/>
      <c r="T21" s="331"/>
    </row>
    <row r="22" spans="1:25" ht="63" thickBot="1">
      <c r="A22" s="314"/>
      <c r="B22" s="145">
        <f>Data!A50</f>
        <v>6.5</v>
      </c>
      <c r="C22" s="146" t="str">
        <f>Data!B50</f>
        <v>System Design Bill of Materials (BOM)</v>
      </c>
      <c r="D22" s="147" t="str">
        <f>Data!C50</f>
        <v>Provide a completed Design Bill of Materials table that defines each system grouping with its associated assemblies and individual parts fully defined. Each line item in the table has an identifiable part numbering system created by the team.</v>
      </c>
      <c r="E22" s="148" t="s">
        <v>22</v>
      </c>
      <c r="F22" s="149"/>
      <c r="G22" s="149"/>
      <c r="H22" s="149"/>
      <c r="I22" s="149"/>
      <c r="J22" s="149"/>
      <c r="K22" s="149"/>
      <c r="L22" s="149"/>
      <c r="M22" s="149"/>
      <c r="N22" s="149"/>
      <c r="O22" s="149"/>
      <c r="P22" s="149"/>
      <c r="Q22" s="150"/>
      <c r="R22" s="29">
        <f t="shared" ref="R22:R38" si="1">IF(E22="x",12,IF(F22="x",11,IF(G22="x",10,IF(H22="x",9,IF(I22="x",8,IF(J22="x",7,IF(K22="x",6,IF(L22="x",5,IF(M22="x",4,IF(N22="x",3,IF(O22="x",2,IF(P22="x",1,IF(Q22="x",0,"")))))))))))))</f>
        <v>12</v>
      </c>
      <c r="S22" s="365"/>
      <c r="T22" s="330"/>
    </row>
    <row r="23" spans="1:25" ht="94.2" thickTop="1">
      <c r="A23" s="417" t="str">
        <f>Data!B61</f>
        <v>Test Plan &amp; Testing Phase</v>
      </c>
      <c r="B23" s="78">
        <f>Data!A61</f>
        <v>9.1</v>
      </c>
      <c r="C23" s="71" t="str">
        <f>Data!_Toc121086323</f>
        <v>Test Plan &amp; Testing Phase</v>
      </c>
      <c r="D23" s="82" t="str">
        <f>Data!C61</f>
        <v>Well defined test plan appropriate to the expected level of testing. Testing requirements and test sequences developed and data recording methods identified.  All test equipment and sensor needs have been identified and ordered. Clearly defined plan in place for the type of data analysis method(s) to be used. Test location Identified and outside resources identified and ready to support testing as needed.</v>
      </c>
      <c r="E23" s="131" t="s">
        <v>22</v>
      </c>
      <c r="F23" s="178"/>
      <c r="G23" s="178"/>
      <c r="H23" s="178"/>
      <c r="I23" s="178"/>
      <c r="J23" s="178"/>
      <c r="K23" s="178"/>
      <c r="L23" s="178"/>
      <c r="M23" s="178"/>
      <c r="N23" s="178"/>
      <c r="O23" s="178"/>
      <c r="P23" s="178"/>
      <c r="Q23" s="154"/>
      <c r="R23" s="28">
        <f t="shared" si="1"/>
        <v>12</v>
      </c>
      <c r="S23" s="364">
        <v>1.5</v>
      </c>
      <c r="T23" s="329">
        <f>AVERAGE(R23:R24)*S23</f>
        <v>18</v>
      </c>
    </row>
    <row r="24" spans="1:25" ht="33" customHeight="1" thickBot="1">
      <c r="A24" s="431"/>
      <c r="B24" s="199">
        <f>Data!A62</f>
        <v>9.1999999999999993</v>
      </c>
      <c r="C24" s="146" t="str">
        <f>Data!B62</f>
        <v>Test Results and Data Analysis</v>
      </c>
      <c r="D24" s="147" t="str">
        <f>Data!C62</f>
        <v>Captured test data properly documented  and organized.  Analysis of test data clearly justifies the final conclusions of the test efforts.</v>
      </c>
      <c r="E24" s="148" t="s">
        <v>22</v>
      </c>
      <c r="F24" s="149"/>
      <c r="G24" s="149"/>
      <c r="H24" s="149"/>
      <c r="I24" s="149"/>
      <c r="J24" s="149"/>
      <c r="K24" s="149"/>
      <c r="L24" s="149"/>
      <c r="M24" s="149"/>
      <c r="N24" s="149"/>
      <c r="O24" s="149"/>
      <c r="P24" s="149"/>
      <c r="Q24" s="150"/>
      <c r="R24" s="29">
        <f t="shared" si="1"/>
        <v>12</v>
      </c>
      <c r="S24" s="365"/>
      <c r="T24" s="330"/>
    </row>
    <row r="25" spans="1:25" ht="63" thickTop="1">
      <c r="A25" s="315" t="s">
        <v>67</v>
      </c>
      <c r="B25" s="198">
        <f>Data!A54</f>
        <v>8.1</v>
      </c>
      <c r="C25" s="193" t="str">
        <f>Data!B54</f>
        <v>Parts Requisition</v>
      </c>
      <c r="D25" s="165" t="str">
        <f>Data!C54</f>
        <v>Parts ordering needs clearly defined. Parts Requisition Form filled in correctly and submitted. Summary table clearly defines all parts ordered. Parts delivery dates clearly defined. Copies of all forms submitted have been placed in Appendix A9.</v>
      </c>
      <c r="E25" s="131" t="s">
        <v>22</v>
      </c>
      <c r="F25" s="178"/>
      <c r="G25" s="178"/>
      <c r="H25" s="178"/>
      <c r="I25" s="178"/>
      <c r="J25" s="178"/>
      <c r="K25" s="178"/>
      <c r="L25" s="178"/>
      <c r="M25" s="178"/>
      <c r="N25" s="178"/>
      <c r="O25" s="178"/>
      <c r="P25" s="178"/>
      <c r="Q25" s="154"/>
      <c r="R25" s="28">
        <f t="shared" si="1"/>
        <v>12</v>
      </c>
      <c r="S25" s="364">
        <v>1</v>
      </c>
      <c r="T25" s="329">
        <f>AVERAGE(R25:R29)*S25</f>
        <v>12</v>
      </c>
    </row>
    <row r="26" spans="1:25" ht="62.4">
      <c r="A26" s="316"/>
      <c r="B26" s="244">
        <f>Data!A55</f>
        <v>8.1999999999999993</v>
      </c>
      <c r="C26" s="189" t="str">
        <f>Data!B55</f>
        <v>Fabrication Plan</v>
      </c>
      <c r="D26" s="166" t="str">
        <f>Data!C55</f>
        <v>Fabrication plan clearly defined. All special assembly or testing needs are described. Alternate build techniques and materials identified for costly or long lead-time components. Inspection plan clearly defined for all fabricated or purchased components.</v>
      </c>
      <c r="E26" s="130" t="s">
        <v>22</v>
      </c>
      <c r="F26" s="134"/>
      <c r="G26" s="134"/>
      <c r="H26" s="134"/>
      <c r="I26" s="134"/>
      <c r="J26" s="134"/>
      <c r="K26" s="134"/>
      <c r="L26" s="134"/>
      <c r="M26" s="134"/>
      <c r="N26" s="134"/>
      <c r="O26" s="134"/>
      <c r="P26" s="134"/>
      <c r="Q26" s="158"/>
      <c r="R26" s="32">
        <f t="shared" si="1"/>
        <v>12</v>
      </c>
      <c r="S26" s="375"/>
      <c r="T26" s="331"/>
      <c r="U26" s="438"/>
      <c r="V26" s="438"/>
      <c r="W26" s="438"/>
      <c r="X26" s="438"/>
      <c r="Y26" s="438"/>
    </row>
    <row r="27" spans="1:25" ht="31.2">
      <c r="A27" s="316"/>
      <c r="B27" s="155">
        <f>Data!A57</f>
        <v>8.4</v>
      </c>
      <c r="C27" s="156" t="str">
        <f>Data!B57</f>
        <v>Established Project Budget</v>
      </c>
      <c r="D27" s="166" t="str">
        <f>Data!C57</f>
        <v xml:space="preserve">Describe the amount of funds that will be available to procure all necessary parts and materials to  build your prototype.  </v>
      </c>
      <c r="E27" s="130" t="s">
        <v>22</v>
      </c>
      <c r="F27" s="134"/>
      <c r="G27" s="134"/>
      <c r="H27" s="134"/>
      <c r="I27" s="134"/>
      <c r="J27" s="134"/>
      <c r="K27" s="134"/>
      <c r="L27" s="134"/>
      <c r="M27" s="134"/>
      <c r="N27" s="134"/>
      <c r="O27" s="134"/>
      <c r="P27" s="134"/>
      <c r="Q27" s="158"/>
      <c r="R27" s="32">
        <f t="shared" si="1"/>
        <v>12</v>
      </c>
      <c r="S27" s="375"/>
      <c r="T27" s="331"/>
    </row>
    <row r="28" spans="1:25" ht="46.8">
      <c r="A28" s="316"/>
      <c r="B28" s="155">
        <f>Data!A58</f>
        <v>8.5</v>
      </c>
      <c r="C28" s="156" t="str">
        <f>Data!B58</f>
        <v>Prototype Parts Expense</v>
      </c>
      <c r="D28" s="166" t="str">
        <f>Data!C58</f>
        <v>Tabulate the total expenses for the various systems of your project, such as, ‘Mechanical Parts’, ‘Electrical Components’, ‘Supplies’, ‘Electrical Suppliers’, ‘Special Tools”, etc.</v>
      </c>
      <c r="E28" s="130" t="s">
        <v>22</v>
      </c>
      <c r="F28" s="134"/>
      <c r="G28" s="134"/>
      <c r="H28" s="134"/>
      <c r="I28" s="134"/>
      <c r="J28" s="134"/>
      <c r="K28" s="134"/>
      <c r="L28" s="134"/>
      <c r="M28" s="134"/>
      <c r="N28" s="134"/>
      <c r="O28" s="134"/>
      <c r="P28" s="134"/>
      <c r="Q28" s="158"/>
      <c r="R28" s="32">
        <f t="shared" si="1"/>
        <v>12</v>
      </c>
      <c r="S28" s="375"/>
      <c r="T28" s="331"/>
    </row>
    <row r="29" spans="1:25" ht="15.75" customHeight="1" thickBot="1">
      <c r="A29" s="314"/>
      <c r="B29" s="145">
        <f>Data!A59</f>
        <v>8.6</v>
      </c>
      <c r="C29" s="146" t="str">
        <f>Data!B59</f>
        <v>Budget Summary</v>
      </c>
      <c r="D29" s="147" t="str">
        <f>Data!C59</f>
        <v>Provide a summary of the status of all expenses and available budget amounts.</v>
      </c>
      <c r="E29" s="148" t="s">
        <v>22</v>
      </c>
      <c r="F29" s="149"/>
      <c r="G29" s="149"/>
      <c r="H29" s="149"/>
      <c r="I29" s="149"/>
      <c r="J29" s="149"/>
      <c r="K29" s="149"/>
      <c r="L29" s="149"/>
      <c r="M29" s="149"/>
      <c r="N29" s="149"/>
      <c r="O29" s="149"/>
      <c r="P29" s="149"/>
      <c r="Q29" s="150"/>
      <c r="R29" s="29">
        <f t="shared" si="1"/>
        <v>12</v>
      </c>
      <c r="S29" s="365"/>
      <c r="T29" s="330"/>
    </row>
    <row r="30" spans="1:25" ht="88.5" customHeight="1" thickTop="1">
      <c r="A30" s="315" t="s">
        <v>39</v>
      </c>
      <c r="B30" s="198">
        <f>Data!A65</f>
        <v>10.1</v>
      </c>
      <c r="C30" s="152" t="str">
        <f>Data!B65</f>
        <v>Project Schedule</v>
      </c>
      <c r="D30" s="165" t="str">
        <f>Data!C65</f>
        <v>Task descriptions contain an acceptable level of detail. Task predecessor links properly used with no open-ended tasks.  Task progress bar properly used to indicate % completion status of active tasks. All tasks set to Auto-Schedule mode. All Resource Names added. Milestones identified and properly linked. All task flow in a chronological order.</v>
      </c>
      <c r="E30" s="131" t="s">
        <v>22</v>
      </c>
      <c r="F30" s="178"/>
      <c r="G30" s="178"/>
      <c r="H30" s="178"/>
      <c r="I30" s="178"/>
      <c r="J30" s="178"/>
      <c r="K30" s="178"/>
      <c r="L30" s="178"/>
      <c r="M30" s="178"/>
      <c r="N30" s="178"/>
      <c r="O30" s="178"/>
      <c r="P30" s="178"/>
      <c r="Q30" s="154"/>
      <c r="R30" s="28">
        <f t="shared" si="1"/>
        <v>12</v>
      </c>
      <c r="S30" s="364">
        <v>0.5</v>
      </c>
      <c r="T30" s="329">
        <f>AVERAGE(R30:R31)*S30</f>
        <v>6</v>
      </c>
      <c r="U30" s="378"/>
      <c r="V30" s="378"/>
      <c r="W30" s="378"/>
      <c r="X30" s="378"/>
      <c r="Y30" s="378"/>
    </row>
    <row r="31" spans="1:25" ht="117.75" customHeight="1" thickBot="1">
      <c r="A31" s="314"/>
      <c r="B31" s="199">
        <f>Data!A66</f>
        <v>10.199999999999999</v>
      </c>
      <c r="C31" s="146" t="str">
        <f>Data!B66</f>
        <v>Gantt Charts &amp; Critical Path</v>
      </c>
      <c r="D31" s="147" t="str">
        <f>Data!C66&amp;" 6 Tasks."</f>
        <v>Gantt Chart(s): Properly formatted to clearly define project status details and all information in the Gantt Charts is aligned with the Gate requirements. Task level information clearly indicates an appropriate level of detail. Chart types are properly created as defined in the Project Schedule Guidelines. Critical Path: MS Project able to calculate critical path based on existing tasks and predecessor structure. Clearly defined and shown using the Level 3 chart format. Gantt Charts content should be To gate  6 Tasks.</v>
      </c>
      <c r="E31" s="148" t="s">
        <v>22</v>
      </c>
      <c r="F31" s="149"/>
      <c r="G31" s="149"/>
      <c r="H31" s="149"/>
      <c r="I31" s="149"/>
      <c r="J31" s="149"/>
      <c r="K31" s="149"/>
      <c r="L31" s="149"/>
      <c r="M31" s="149"/>
      <c r="N31" s="149"/>
      <c r="O31" s="149"/>
      <c r="P31" s="149"/>
      <c r="Q31" s="150"/>
      <c r="R31" s="29">
        <f t="shared" si="1"/>
        <v>12</v>
      </c>
      <c r="S31" s="365"/>
      <c r="T31" s="330"/>
      <c r="U31" s="378"/>
      <c r="V31" s="378"/>
      <c r="W31" s="378"/>
      <c r="X31" s="378"/>
      <c r="Y31" s="378"/>
    </row>
    <row r="32" spans="1:25" ht="31.8" thickTop="1">
      <c r="A32" s="315" t="s">
        <v>28</v>
      </c>
      <c r="B32" s="198"/>
      <c r="C32" s="152" t="str">
        <f>Data!B7</f>
        <v>Formatting and References</v>
      </c>
      <c r="D32" s="165" t="str">
        <f>Data!C7</f>
        <v>Uses IEEE format to develop the Title Page, Table of Contents, Appendix, and Work Cited sections of this report.</v>
      </c>
      <c r="E32" s="131" t="s">
        <v>22</v>
      </c>
      <c r="F32" s="178"/>
      <c r="G32" s="178"/>
      <c r="H32" s="178"/>
      <c r="I32" s="178"/>
      <c r="J32" s="178"/>
      <c r="K32" s="178"/>
      <c r="L32" s="178"/>
      <c r="M32" s="178"/>
      <c r="N32" s="178"/>
      <c r="O32" s="178"/>
      <c r="P32" s="178"/>
      <c r="Q32" s="154"/>
      <c r="R32" s="28">
        <f t="shared" si="1"/>
        <v>12</v>
      </c>
      <c r="S32" s="364">
        <v>1</v>
      </c>
      <c r="T32" s="329">
        <f>AVERAGE(R32:R34)*S32</f>
        <v>12</v>
      </c>
    </row>
    <row r="33" spans="1:25" ht="46.8">
      <c r="A33" s="316"/>
      <c r="B33" s="244"/>
      <c r="C33" s="156" t="str">
        <f>Data!B8</f>
        <v>Text</v>
      </c>
      <c r="D33" s="166" t="str">
        <f>Data!C8</f>
        <v>Free of spelling and grammatical errors, text flows with contiguous threads, consistent format, use of 3rd person perspective, non-repeating ideas or information.</v>
      </c>
      <c r="E33" s="130" t="s">
        <v>22</v>
      </c>
      <c r="F33" s="134"/>
      <c r="G33" s="134"/>
      <c r="H33" s="134"/>
      <c r="I33" s="134"/>
      <c r="J33" s="134"/>
      <c r="K33" s="134"/>
      <c r="L33" s="134"/>
      <c r="M33" s="134"/>
      <c r="N33" s="134"/>
      <c r="O33" s="134"/>
      <c r="P33" s="134"/>
      <c r="Q33" s="158"/>
      <c r="R33" s="32">
        <f t="shared" si="1"/>
        <v>12</v>
      </c>
      <c r="S33" s="375"/>
      <c r="T33" s="331"/>
    </row>
    <row r="34" spans="1:25" ht="51.9" customHeight="1" thickBot="1">
      <c r="A34" s="314"/>
      <c r="B34" s="199"/>
      <c r="C34" s="146" t="str">
        <f>Data!B9</f>
        <v>Visual Aids</v>
      </c>
      <c r="D34" s="147" t="str">
        <f>Data!C9</f>
        <v>Visual aids (all figures including hand sketches, photos, charts, etc. and tables) are clear and readable and of professional quality.  Graphic aspects labeled and linked to text to transmit critical information, units/scaling clear. Proper IEEE style utilized.</v>
      </c>
      <c r="E34" s="148" t="s">
        <v>22</v>
      </c>
      <c r="F34" s="149"/>
      <c r="G34" s="149"/>
      <c r="H34" s="149"/>
      <c r="I34" s="149"/>
      <c r="J34" s="149"/>
      <c r="K34" s="149"/>
      <c r="L34" s="149"/>
      <c r="M34" s="149"/>
      <c r="N34" s="149"/>
      <c r="O34" s="149"/>
      <c r="P34" s="149"/>
      <c r="Q34" s="150"/>
      <c r="R34" s="29">
        <f t="shared" si="1"/>
        <v>12</v>
      </c>
      <c r="S34" s="365"/>
      <c r="T34" s="330"/>
      <c r="U34" s="438"/>
      <c r="V34" s="438"/>
      <c r="W34" s="438"/>
      <c r="X34" s="438"/>
      <c r="Y34" s="438"/>
    </row>
    <row r="35" spans="1:25" ht="63" thickTop="1">
      <c r="A35" s="439"/>
      <c r="B35" s="249" t="str">
        <f>Data!A75</f>
        <v>A1</v>
      </c>
      <c r="C35" s="250" t="str">
        <f>Data!B75</f>
        <v>Communication Plan</v>
      </c>
      <c r="D35" s="251" t="str">
        <f>Data!C75</f>
        <v>Communication Plan template fully filled in. Communication channels appear appropriate for the current team progress and level of communication occurring.  Clearly defined descriptions of all portions of the plan.</v>
      </c>
      <c r="E35" s="131" t="s">
        <v>22</v>
      </c>
      <c r="F35" s="178"/>
      <c r="G35" s="178"/>
      <c r="H35" s="178"/>
      <c r="I35" s="178"/>
      <c r="J35" s="178"/>
      <c r="K35" s="178"/>
      <c r="L35" s="178"/>
      <c r="M35" s="178"/>
      <c r="N35" s="178"/>
      <c r="O35" s="178"/>
      <c r="P35" s="178"/>
      <c r="Q35" s="154"/>
      <c r="R35" s="28">
        <f t="shared" si="1"/>
        <v>12</v>
      </c>
      <c r="S35" s="364">
        <v>0.5</v>
      </c>
      <c r="T35" s="329">
        <f>AVERAGE(R35:R44)*S35</f>
        <v>6</v>
      </c>
    </row>
    <row r="36" spans="1:25" ht="15.75" customHeight="1">
      <c r="A36" s="440"/>
      <c r="B36" s="252" t="str">
        <f>Data!A76</f>
        <v>A2</v>
      </c>
      <c r="C36" s="253" t="str">
        <f>Data!B76</f>
        <v>Team Member Bios</v>
      </c>
      <c r="D36" s="254" t="str">
        <f>Data!C76</f>
        <v>Describes each member's motivation to participate and succeed in this project.</v>
      </c>
      <c r="E36" s="130" t="s">
        <v>22</v>
      </c>
      <c r="F36" s="134"/>
      <c r="G36" s="134"/>
      <c r="H36" s="134"/>
      <c r="I36" s="134"/>
      <c r="J36" s="134"/>
      <c r="K36" s="134"/>
      <c r="L36" s="134"/>
      <c r="M36" s="134"/>
      <c r="N36" s="134"/>
      <c r="O36" s="134"/>
      <c r="P36" s="134"/>
      <c r="Q36" s="158"/>
      <c r="R36" s="32">
        <f t="shared" si="1"/>
        <v>12</v>
      </c>
      <c r="S36" s="375"/>
      <c r="T36" s="331"/>
    </row>
    <row r="37" spans="1:25" ht="15.6">
      <c r="A37" s="440"/>
      <c r="B37" s="252" t="str">
        <f>Data!A77</f>
        <v>A3</v>
      </c>
      <c r="C37" s="253" t="str">
        <f>Data!B77</f>
        <v>Down Selection Process</v>
      </c>
      <c r="D37" s="254" t="str">
        <f>Data!C77</f>
        <v xml:space="preserve">Copy of calculation results for each down selection analysis completed. </v>
      </c>
      <c r="E37" s="130" t="s">
        <v>22</v>
      </c>
      <c r="F37" s="134"/>
      <c r="G37" s="134"/>
      <c r="H37" s="134"/>
      <c r="I37" s="134"/>
      <c r="J37" s="134"/>
      <c r="K37" s="134"/>
      <c r="L37" s="134"/>
      <c r="M37" s="134"/>
      <c r="N37" s="134"/>
      <c r="O37" s="134"/>
      <c r="P37" s="134"/>
      <c r="Q37" s="158"/>
      <c r="R37" s="32">
        <f t="shared" si="0"/>
        <v>12</v>
      </c>
      <c r="S37" s="375"/>
      <c r="T37" s="331"/>
    </row>
    <row r="38" spans="1:25" ht="31.2">
      <c r="A38" s="440"/>
      <c r="B38" s="252" t="str">
        <f>Data!A78</f>
        <v>A4</v>
      </c>
      <c r="C38" s="253" t="str">
        <f>Data!B78</f>
        <v>Team Meeting Notes</v>
      </c>
      <c r="D38" s="254" t="str">
        <f>Data!C78</f>
        <v xml:space="preserve">Contains invitees, attendees, agenda, meeting notes, and task assignment with team member responsibilities clearly labeled.  </v>
      </c>
      <c r="E38" s="130" t="s">
        <v>22</v>
      </c>
      <c r="F38" s="134"/>
      <c r="G38" s="134"/>
      <c r="H38" s="134"/>
      <c r="I38" s="134"/>
      <c r="J38" s="134"/>
      <c r="K38" s="134"/>
      <c r="L38" s="134"/>
      <c r="M38" s="134"/>
      <c r="N38" s="134"/>
      <c r="O38" s="134"/>
      <c r="P38" s="134"/>
      <c r="Q38" s="158"/>
      <c r="R38" s="32">
        <f t="shared" si="1"/>
        <v>12</v>
      </c>
      <c r="S38" s="375"/>
      <c r="T38" s="331"/>
    </row>
    <row r="39" spans="1:25" ht="46.8">
      <c r="A39" s="440"/>
      <c r="B39" s="252" t="str">
        <f>Data!A79</f>
        <v>A5</v>
      </c>
      <c r="C39" s="253" t="str">
        <f>Data!B79</f>
        <v>Mechanical Drawings</v>
      </c>
      <c r="D39" s="254" t="str">
        <f>Data!C79</f>
        <v xml:space="preserve">Provides a full engineering mechanical description and documentation for the project design in sufficient detail that the design could be manufactured/produced/assembled. </v>
      </c>
      <c r="E39" s="130" t="s">
        <v>22</v>
      </c>
      <c r="F39" s="134"/>
      <c r="G39" s="134"/>
      <c r="H39" s="134"/>
      <c r="I39" s="134"/>
      <c r="J39" s="134"/>
      <c r="K39" s="134"/>
      <c r="L39" s="134"/>
      <c r="M39" s="134"/>
      <c r="N39" s="134"/>
      <c r="O39" s="134"/>
      <c r="P39" s="134"/>
      <c r="Q39" s="158"/>
      <c r="R39" s="32">
        <v>12</v>
      </c>
      <c r="S39" s="375"/>
      <c r="T39" s="331"/>
    </row>
    <row r="40" spans="1:25" ht="46.8">
      <c r="A40" s="440"/>
      <c r="B40" s="252" t="str">
        <f>Data!A80</f>
        <v>A6</v>
      </c>
      <c r="C40" s="253" t="str">
        <f>Data!B80</f>
        <v>Electrical Drawings</v>
      </c>
      <c r="D40" s="254" t="str">
        <f>Data!C80</f>
        <v xml:space="preserve">Provides a full engineering electrical description and documentation for the project design in sufficient detail that the design could be manufactured/produced/assembled. </v>
      </c>
      <c r="E40" s="130" t="s">
        <v>22</v>
      </c>
      <c r="F40" s="134"/>
      <c r="G40" s="134"/>
      <c r="H40" s="134"/>
      <c r="I40" s="134"/>
      <c r="J40" s="134"/>
      <c r="K40" s="134"/>
      <c r="L40" s="134"/>
      <c r="M40" s="134"/>
      <c r="N40" s="134"/>
      <c r="O40" s="134"/>
      <c r="P40" s="134"/>
      <c r="Q40" s="158"/>
      <c r="R40" s="32">
        <f t="shared" si="0"/>
        <v>12</v>
      </c>
      <c r="S40" s="375"/>
      <c r="T40" s="331"/>
    </row>
    <row r="41" spans="1:25" ht="46.8">
      <c r="A41" s="440"/>
      <c r="B41" s="252" t="str">
        <f>Data!A81</f>
        <v>A7</v>
      </c>
      <c r="C41" s="253" t="str">
        <f>Data!B81</f>
        <v>Software and Programming Files</v>
      </c>
      <c r="D41" s="254" t="str">
        <f>Data!C81</f>
        <v>Provides a full engineering software  description and documentation for the project design in sufficient detail that the program can be reproduced.</v>
      </c>
      <c r="E41" s="130" t="s">
        <v>22</v>
      </c>
      <c r="F41" s="134"/>
      <c r="G41" s="134"/>
      <c r="H41" s="134"/>
      <c r="I41" s="134"/>
      <c r="J41" s="134"/>
      <c r="K41" s="134"/>
      <c r="L41" s="134"/>
      <c r="M41" s="134"/>
      <c r="N41" s="134"/>
      <c r="O41" s="134"/>
      <c r="P41" s="134"/>
      <c r="Q41" s="158"/>
      <c r="R41" s="32">
        <f t="shared" si="0"/>
        <v>12</v>
      </c>
      <c r="S41" s="375"/>
      <c r="T41" s="331"/>
    </row>
    <row r="42" spans="1:25" ht="15.6">
      <c r="A42" s="440"/>
      <c r="B42" s="252" t="str">
        <f>Data!A82</f>
        <v>A8</v>
      </c>
      <c r="C42" s="253" t="str">
        <f>Data!B82</f>
        <v>Technical Data Sheets</v>
      </c>
      <c r="D42" s="254" t="str">
        <f>Data!C82</f>
        <v xml:space="preserve">All manufacturers' data sheets attached. </v>
      </c>
      <c r="E42" s="130" t="s">
        <v>22</v>
      </c>
      <c r="F42" s="134"/>
      <c r="G42" s="134"/>
      <c r="H42" s="134"/>
      <c r="I42" s="134"/>
      <c r="J42" s="134"/>
      <c r="K42" s="134"/>
      <c r="L42" s="134"/>
      <c r="M42" s="134"/>
      <c r="N42" s="134"/>
      <c r="O42" s="134"/>
      <c r="P42" s="134"/>
      <c r="Q42" s="158"/>
      <c r="R42" s="32">
        <f t="shared" si="0"/>
        <v>12</v>
      </c>
      <c r="S42" s="375"/>
      <c r="T42" s="331"/>
    </row>
    <row r="43" spans="1:25" ht="31.2">
      <c r="A43" s="440"/>
      <c r="B43" s="252" t="str">
        <f>Data!A83</f>
        <v>A9</v>
      </c>
      <c r="C43" s="253" t="str">
        <f>Data!B83</f>
        <v>Failure Modes and Effects Analysis (FMEA)</v>
      </c>
      <c r="D43" s="254"/>
      <c r="E43" s="130"/>
      <c r="F43" s="134"/>
      <c r="G43" s="134"/>
      <c r="H43" s="134"/>
      <c r="I43" s="134"/>
      <c r="J43" s="134"/>
      <c r="K43" s="134"/>
      <c r="L43" s="134"/>
      <c r="M43" s="134"/>
      <c r="N43" s="134"/>
      <c r="O43" s="134"/>
      <c r="P43" s="134"/>
      <c r="Q43" s="158"/>
      <c r="R43" s="32"/>
      <c r="S43" s="375"/>
      <c r="T43" s="331"/>
    </row>
    <row r="44" spans="1:25" ht="16.2" thickBot="1">
      <c r="A44" s="441"/>
      <c r="B44" s="255" t="str">
        <f>Data!A84</f>
        <v>A10</v>
      </c>
      <c r="C44" s="256" t="str">
        <f>Data!B84</f>
        <v>Parts Requisition Forms</v>
      </c>
      <c r="D44" s="257" t="str">
        <f>Data!C84</f>
        <v>Contains copies of all parts requisition form submitted</v>
      </c>
      <c r="E44" s="148" t="s">
        <v>22</v>
      </c>
      <c r="F44" s="149"/>
      <c r="G44" s="149"/>
      <c r="H44" s="149"/>
      <c r="I44" s="149"/>
      <c r="J44" s="149"/>
      <c r="K44" s="149"/>
      <c r="L44" s="149"/>
      <c r="M44" s="149"/>
      <c r="N44" s="149"/>
      <c r="O44" s="149"/>
      <c r="P44" s="149"/>
      <c r="Q44" s="150"/>
      <c r="R44" s="29">
        <f t="shared" ref="R44" si="2">IF(E44="x",12,IF(F44="x",11,IF(G44="x",10,IF(H44="x",9,IF(I44="x",8,IF(J44="x",7,IF(K44="x",6,IF(L44="x",5,IF(M44="x",4,IF(N44="x",3,IF(O44="x",2,IF(P44="x",1,IF(Q44="x",0,"")))))))))))))</f>
        <v>12</v>
      </c>
      <c r="S44" s="365"/>
      <c r="T44" s="330"/>
    </row>
    <row r="45" spans="1:25" ht="16.2" thickTop="1">
      <c r="A45" s="317" t="s">
        <v>20</v>
      </c>
      <c r="B45" s="320"/>
      <c r="C45" s="321"/>
      <c r="D45" s="321"/>
      <c r="E45" s="321"/>
      <c r="F45" s="321"/>
      <c r="G45" s="321"/>
      <c r="H45" s="321"/>
      <c r="I45" s="321"/>
      <c r="J45" s="321"/>
      <c r="K45" s="321"/>
      <c r="L45" s="321"/>
      <c r="M45" s="321"/>
      <c r="N45" s="321"/>
      <c r="O45" s="321"/>
      <c r="P45" s="321"/>
      <c r="Q45" s="322"/>
      <c r="R45" s="366" t="s">
        <v>30</v>
      </c>
      <c r="S45" s="367"/>
      <c r="T45" s="67">
        <f>SUM(T4:T44)</f>
        <v>96</v>
      </c>
    </row>
    <row r="46" spans="1:25" ht="15.6">
      <c r="A46" s="318"/>
      <c r="B46" s="323"/>
      <c r="C46" s="324"/>
      <c r="D46" s="324"/>
      <c r="E46" s="324"/>
      <c r="F46" s="324"/>
      <c r="G46" s="324"/>
      <c r="H46" s="324"/>
      <c r="I46" s="324"/>
      <c r="J46" s="324"/>
      <c r="K46" s="324"/>
      <c r="L46" s="324"/>
      <c r="M46" s="324"/>
      <c r="N46" s="324"/>
      <c r="O46" s="324"/>
      <c r="P46" s="324"/>
      <c r="Q46" s="325"/>
      <c r="R46" s="368" t="s">
        <v>31</v>
      </c>
      <c r="S46" s="369"/>
      <c r="T46" s="68">
        <v>96</v>
      </c>
    </row>
    <row r="47" spans="1:25" ht="16.2" thickBot="1">
      <c r="A47" s="319"/>
      <c r="B47" s="326"/>
      <c r="C47" s="327"/>
      <c r="D47" s="327"/>
      <c r="E47" s="327"/>
      <c r="F47" s="327"/>
      <c r="G47" s="327"/>
      <c r="H47" s="327"/>
      <c r="I47" s="327"/>
      <c r="J47" s="327"/>
      <c r="K47" s="327"/>
      <c r="L47" s="327"/>
      <c r="M47" s="327"/>
      <c r="N47" s="327"/>
      <c r="O47" s="327"/>
      <c r="P47" s="327"/>
      <c r="Q47" s="328"/>
      <c r="R47" s="370" t="s">
        <v>32</v>
      </c>
      <c r="S47" s="371"/>
      <c r="T47" s="69">
        <f>T45/T46</f>
        <v>1</v>
      </c>
    </row>
    <row r="48" spans="1:25" ht="15" thickTop="1"/>
  </sheetData>
  <mergeCells count="34">
    <mergeCell ref="A45:A47"/>
    <mergeCell ref="B45:Q47"/>
    <mergeCell ref="A2:T2"/>
    <mergeCell ref="D4:D13"/>
    <mergeCell ref="T35:T44"/>
    <mergeCell ref="S14:S17"/>
    <mergeCell ref="T14:T17"/>
    <mergeCell ref="S18:S22"/>
    <mergeCell ref="T18:T22"/>
    <mergeCell ref="T30:T31"/>
    <mergeCell ref="S30:S31"/>
    <mergeCell ref="S25:S29"/>
    <mergeCell ref="T25:T29"/>
    <mergeCell ref="S23:S24"/>
    <mergeCell ref="T23:T24"/>
    <mergeCell ref="T32:T34"/>
    <mergeCell ref="S4:S13"/>
    <mergeCell ref="A32:A34"/>
    <mergeCell ref="S32:S34"/>
    <mergeCell ref="T4:T13"/>
    <mergeCell ref="A4:A13"/>
    <mergeCell ref="A35:A44"/>
    <mergeCell ref="A30:A31"/>
    <mergeCell ref="A18:A22"/>
    <mergeCell ref="A23:A24"/>
    <mergeCell ref="A14:A17"/>
    <mergeCell ref="A25:A29"/>
    <mergeCell ref="U26:Y26"/>
    <mergeCell ref="U30:Y31"/>
    <mergeCell ref="U34:Y34"/>
    <mergeCell ref="R46:S46"/>
    <mergeCell ref="R47:S47"/>
    <mergeCell ref="S35:S44"/>
    <mergeCell ref="R45:S45"/>
  </mergeCells>
  <printOptions horizontalCentered="1"/>
  <pageMargins left="0.45" right="0.45" top="0.5" bottom="0.5" header="0.3" footer="0.3"/>
  <pageSetup scale="55" fitToHeight="2"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E3DEA-2FCC-44A5-ACC4-445B2B355A32}">
  <sheetPr>
    <tabColor theme="8" tint="0.79998168889431442"/>
    <pageSetUpPr fitToPage="1"/>
  </sheetPr>
  <dimension ref="A1:T22"/>
  <sheetViews>
    <sheetView zoomScale="110" zoomScaleNormal="110" workbookViewId="0">
      <pane xSplit="1" ySplit="3" topLeftCell="B11" activePane="bottomRight" state="frozen"/>
      <selection pane="topRight" activeCell="C1" sqref="C1"/>
      <selection pane="bottomLeft" activeCell="A4" sqref="A4"/>
      <selection pane="bottomRight" activeCell="B11" sqref="B11:T11"/>
    </sheetView>
  </sheetViews>
  <sheetFormatPr defaultColWidth="8.6640625" defaultRowHeight="14.4"/>
  <cols>
    <col min="1" max="1" width="15.6640625" style="5" customWidth="1"/>
    <col min="2" max="2" width="7.44140625" style="3" customWidth="1"/>
    <col min="3" max="3" width="26.33203125" bestFit="1" customWidth="1"/>
    <col min="4" max="4" width="71.6640625" customWidth="1"/>
    <col min="5" max="5" width="12.44140625" customWidth="1"/>
    <col min="6" max="10" width="4.44140625" customWidth="1"/>
    <col min="11" max="16" width="3.33203125" bestFit="1" customWidth="1"/>
    <col min="17" max="17" width="9.33203125" customWidth="1"/>
    <col min="18" max="18" width="6.33203125" bestFit="1" customWidth="1"/>
    <col min="19" max="19" width="9.33203125" customWidth="1"/>
    <col min="20" max="20" width="6.44140625" customWidth="1"/>
    <col min="21" max="21" width="168" customWidth="1"/>
  </cols>
  <sheetData>
    <row r="1" spans="1:20" ht="15" thickBot="1"/>
    <row r="2" spans="1:20" ht="34.799999999999997" thickTop="1" thickBot="1">
      <c r="A2" s="372" t="s">
        <v>68</v>
      </c>
      <c r="B2" s="373"/>
      <c r="C2" s="373"/>
      <c r="D2" s="373"/>
      <c r="E2" s="373"/>
      <c r="F2" s="373"/>
      <c r="G2" s="373"/>
      <c r="H2" s="373"/>
      <c r="I2" s="373"/>
      <c r="J2" s="373"/>
      <c r="K2" s="373"/>
      <c r="L2" s="373"/>
      <c r="M2" s="373"/>
      <c r="N2" s="373"/>
      <c r="O2" s="373"/>
      <c r="P2" s="373"/>
      <c r="Q2" s="373"/>
      <c r="R2" s="373"/>
      <c r="S2" s="373"/>
      <c r="T2" s="374"/>
    </row>
    <row r="3" spans="1:20" ht="63.6" thickTop="1" thickBot="1">
      <c r="A3" s="136" t="s">
        <v>1</v>
      </c>
      <c r="B3" s="136" t="s">
        <v>35</v>
      </c>
      <c r="C3" s="136" t="s">
        <v>3</v>
      </c>
      <c r="D3" s="136" t="s">
        <v>51</v>
      </c>
      <c r="E3" s="133" t="s">
        <v>5</v>
      </c>
      <c r="F3" s="137" t="s">
        <v>6</v>
      </c>
      <c r="G3" s="137" t="s">
        <v>7</v>
      </c>
      <c r="H3" s="137" t="s">
        <v>8</v>
      </c>
      <c r="I3" s="137" t="s">
        <v>9</v>
      </c>
      <c r="J3" s="137" t="s">
        <v>10</v>
      </c>
      <c r="K3" s="137" t="s">
        <v>11</v>
      </c>
      <c r="L3" s="137" t="s">
        <v>12</v>
      </c>
      <c r="M3" s="137" t="s">
        <v>13</v>
      </c>
      <c r="N3" s="137" t="s">
        <v>14</v>
      </c>
      <c r="O3" s="137" t="s">
        <v>15</v>
      </c>
      <c r="P3" s="137" t="s">
        <v>16</v>
      </c>
      <c r="Q3" s="138" t="s">
        <v>17</v>
      </c>
      <c r="R3" s="133" t="s">
        <v>18</v>
      </c>
      <c r="S3" s="177" t="s">
        <v>42</v>
      </c>
      <c r="T3" s="138" t="s">
        <v>19</v>
      </c>
    </row>
    <row r="4" spans="1:20" ht="31.8" thickTop="1">
      <c r="A4" s="315" t="s">
        <v>37</v>
      </c>
      <c r="B4" s="198"/>
      <c r="C4" s="152" t="str">
        <f>Data!B11</f>
        <v>Oral Presentation Skill</v>
      </c>
      <c r="D4" s="165" t="str">
        <f>Data!C11</f>
        <v>Clear enunciation when discussing engineering design. All members are participating. Smooth transitions between topics and presenters.</v>
      </c>
      <c r="E4" s="131" t="s">
        <v>29</v>
      </c>
      <c r="F4" s="178"/>
      <c r="G4" s="178"/>
      <c r="H4" s="178"/>
      <c r="I4" s="178"/>
      <c r="J4" s="178"/>
      <c r="K4" s="178"/>
      <c r="L4" s="178"/>
      <c r="M4" s="178"/>
      <c r="N4" s="178"/>
      <c r="O4" s="178"/>
      <c r="P4" s="178"/>
      <c r="Q4" s="154"/>
      <c r="R4" s="28">
        <f t="shared" ref="R4:R18" si="0">IF(E4="x",12,IF(F4="x",11,IF(G4="x",10,IF(H4="x",9,IF(I4="x",8,IF(J4="x",7,IF(K4="x",6,IF(L4="x",5,IF(M4="x",4,IF(N4="x",3,IF(O4="x",2,IF(P4="x",1,IF(Q4="x",0,"")))))))))))))</f>
        <v>12</v>
      </c>
      <c r="S4" s="364">
        <v>1.5</v>
      </c>
      <c r="T4" s="329">
        <f>AVERAGE(R4:R6)*S4</f>
        <v>18</v>
      </c>
    </row>
    <row r="5" spans="1:20" ht="93.6">
      <c r="A5" s="316"/>
      <c r="B5" s="244"/>
      <c r="C5" s="156" t="str">
        <f>Data!B12</f>
        <v>Audio / Visual Quality of Presentation</v>
      </c>
      <c r="D5" s="166" t="str">
        <f>Data!C12</f>
        <v xml:space="preserve">Figures and tables in engineering format, free of spelling and grammatical errors, data presented is well-organized and defined in tabular or graphical form. Annotations are used to describe key points of photos and graphics. All slides are labeled with page numbers and consistent formatting between slides. Audio quality good no background noise or distractions. </v>
      </c>
      <c r="E5" s="130" t="s">
        <v>29</v>
      </c>
      <c r="F5" s="134"/>
      <c r="G5" s="134"/>
      <c r="H5" s="134"/>
      <c r="I5" s="134"/>
      <c r="J5" s="134"/>
      <c r="K5" s="134"/>
      <c r="L5" s="134"/>
      <c r="M5" s="134"/>
      <c r="N5" s="134"/>
      <c r="O5" s="134"/>
      <c r="P5" s="134"/>
      <c r="Q5" s="158"/>
      <c r="R5" s="32">
        <f t="shared" si="0"/>
        <v>12</v>
      </c>
      <c r="S5" s="428"/>
      <c r="T5" s="331"/>
    </row>
    <row r="6" spans="1:20" ht="31.8" thickBot="1">
      <c r="A6" s="314"/>
      <c r="B6" s="199"/>
      <c r="C6" s="146" t="str">
        <f>Data!B13</f>
        <v>References</v>
      </c>
      <c r="D6" s="147" t="str">
        <f>Data!C13</f>
        <v>References (in-text and bibliography) properly cited in IEEE style. Proper use of the Zotero citation management tool</v>
      </c>
      <c r="E6" s="148" t="s">
        <v>29</v>
      </c>
      <c r="F6" s="149"/>
      <c r="G6" s="149"/>
      <c r="H6" s="149"/>
      <c r="I6" s="149"/>
      <c r="J6" s="149"/>
      <c r="K6" s="149"/>
      <c r="L6" s="149"/>
      <c r="M6" s="149"/>
      <c r="N6" s="149"/>
      <c r="O6" s="149"/>
      <c r="P6" s="149"/>
      <c r="Q6" s="150"/>
      <c r="R6" s="29">
        <f t="shared" si="0"/>
        <v>12</v>
      </c>
      <c r="S6" s="429"/>
      <c r="T6" s="330"/>
    </row>
    <row r="7" spans="1:20" ht="31.5" customHeight="1" thickTop="1" thickBot="1">
      <c r="A7" s="136" t="s">
        <v>20</v>
      </c>
      <c r="B7" s="388"/>
      <c r="C7" s="346"/>
      <c r="D7" s="346"/>
      <c r="E7" s="346"/>
      <c r="F7" s="346"/>
      <c r="G7" s="346"/>
      <c r="H7" s="346"/>
      <c r="I7" s="346"/>
      <c r="J7" s="346"/>
      <c r="K7" s="346"/>
      <c r="L7" s="346"/>
      <c r="M7" s="346"/>
      <c r="N7" s="346"/>
      <c r="O7" s="346"/>
      <c r="P7" s="346"/>
      <c r="Q7" s="346"/>
      <c r="R7" s="346"/>
      <c r="S7" s="346"/>
      <c r="T7" s="430"/>
    </row>
    <row r="8" spans="1:20" ht="31.5" customHeight="1" thickTop="1">
      <c r="A8" s="315" t="s">
        <v>23</v>
      </c>
      <c r="B8" s="78">
        <f>Data!A23</f>
        <v>1.1000000000000001</v>
      </c>
      <c r="C8" s="80" t="str">
        <f>Data!B23</f>
        <v>Problem Description</v>
      </c>
      <c r="D8" s="82" t="str">
        <f>Data!C23</f>
        <v>Includes context to the problem, reason for the problem, need for this project, defines who is impacted by the problem (customer / market) and how.</v>
      </c>
      <c r="E8" s="131" t="s">
        <v>29</v>
      </c>
      <c r="F8" s="178"/>
      <c r="G8" s="178"/>
      <c r="H8" s="178"/>
      <c r="I8" s="178"/>
      <c r="J8" s="178"/>
      <c r="K8" s="178"/>
      <c r="L8" s="178"/>
      <c r="M8" s="178"/>
      <c r="N8" s="178"/>
      <c r="O8" s="178"/>
      <c r="P8" s="178"/>
      <c r="Q8" s="154"/>
      <c r="R8" s="28">
        <f t="shared" si="0"/>
        <v>12</v>
      </c>
      <c r="S8" s="364">
        <v>1.5</v>
      </c>
      <c r="T8" s="329">
        <f>AVERAGE(R8:R10)*S8</f>
        <v>18</v>
      </c>
    </row>
    <row r="9" spans="1:20" ht="46.8">
      <c r="A9" s="316"/>
      <c r="B9" s="79">
        <f>Data!A24</f>
        <v>1.2</v>
      </c>
      <c r="C9" s="81" t="str">
        <f>Data!B24</f>
        <v>Problem Statement</v>
      </c>
      <c r="D9" s="83" t="str">
        <f>Data!C24</f>
        <v>Describes the problem in technical detail and Quantifies the impact on the customer/market. Introduce critical performance metrics. Defines the end-user population (e.g., person, environment, or organization).</v>
      </c>
      <c r="E9" s="130" t="s">
        <v>29</v>
      </c>
      <c r="F9" s="134"/>
      <c r="G9" s="134"/>
      <c r="H9" s="134"/>
      <c r="I9" s="134"/>
      <c r="J9" s="134"/>
      <c r="K9" s="134"/>
      <c r="L9" s="134"/>
      <c r="M9" s="134"/>
      <c r="N9" s="134"/>
      <c r="O9" s="134"/>
      <c r="P9" s="134"/>
      <c r="Q9" s="158"/>
      <c r="R9" s="32">
        <f t="shared" si="0"/>
        <v>12</v>
      </c>
      <c r="S9" s="428"/>
      <c r="T9" s="331"/>
    </row>
    <row r="10" spans="1:20" ht="47.4" thickBot="1">
      <c r="A10" s="314"/>
      <c r="B10" s="119">
        <f>Data!A25</f>
        <v>1.3</v>
      </c>
      <c r="C10" s="120" t="str">
        <f>Data!B25</f>
        <v>Scope of Work</v>
      </c>
      <c r="D10" s="75" t="str">
        <f>Data!C25</f>
        <v xml:space="preserve">Describes the approach to solve this problem, the projected timeline plan, and the assumptions, limitations, and constraints of the project.  Describes the services and/or materials to be obtained from the client.  </v>
      </c>
      <c r="E10" s="148" t="s">
        <v>22</v>
      </c>
      <c r="F10" s="149"/>
      <c r="G10" s="149"/>
      <c r="H10" s="149"/>
      <c r="I10" s="149"/>
      <c r="J10" s="149"/>
      <c r="K10" s="149"/>
      <c r="L10" s="149"/>
      <c r="M10" s="149"/>
      <c r="N10" s="149"/>
      <c r="O10" s="149"/>
      <c r="P10" s="149"/>
      <c r="Q10" s="150"/>
      <c r="R10" s="29">
        <f t="shared" si="0"/>
        <v>12</v>
      </c>
      <c r="S10" s="429"/>
      <c r="T10" s="330"/>
    </row>
    <row r="11" spans="1:20" ht="31.5" customHeight="1" thickTop="1" thickBot="1">
      <c r="A11" s="136" t="s">
        <v>20</v>
      </c>
      <c r="B11" s="388"/>
      <c r="C11" s="346"/>
      <c r="D11" s="346"/>
      <c r="E11" s="346"/>
      <c r="F11" s="346"/>
      <c r="G11" s="346"/>
      <c r="H11" s="346"/>
      <c r="I11" s="346"/>
      <c r="J11" s="346"/>
      <c r="K11" s="346"/>
      <c r="L11" s="346"/>
      <c r="M11" s="346"/>
      <c r="N11" s="346"/>
      <c r="O11" s="346"/>
      <c r="P11" s="346"/>
      <c r="Q11" s="346"/>
      <c r="R11" s="346"/>
      <c r="S11" s="346"/>
      <c r="T11" s="430"/>
    </row>
    <row r="12" spans="1:20" ht="94.2" thickTop="1">
      <c r="A12" s="315" t="s">
        <v>24</v>
      </c>
      <c r="B12" s="198">
        <f>Data!A28</f>
        <v>2.1</v>
      </c>
      <c r="C12" s="152" t="str">
        <f>Data!B28</f>
        <v>Review of the Problem Area</v>
      </c>
      <c r="D12" s="165" t="str">
        <f>Data!C28</f>
        <v xml:space="preserve">Summarizes and synthesizes existing research to support the claims of the problem.  Information gathered is technically sound and adequate, e.g., summarizes benchmarked prototypes, patents, research publications, etc. Properly cited work using IEEE style. Includes visual aids (e.g., figures, tables) and technical details to introduce the various claims and approaches published in literature. </v>
      </c>
      <c r="E12" s="131" t="s">
        <v>29</v>
      </c>
      <c r="F12" s="178"/>
      <c r="G12" s="178"/>
      <c r="H12" s="178"/>
      <c r="I12" s="178"/>
      <c r="J12" s="178"/>
      <c r="K12" s="178"/>
      <c r="L12" s="178"/>
      <c r="M12" s="178"/>
      <c r="N12" s="178"/>
      <c r="O12" s="178"/>
      <c r="P12" s="178"/>
      <c r="Q12" s="154"/>
      <c r="R12" s="28">
        <f t="shared" si="0"/>
        <v>12</v>
      </c>
      <c r="S12" s="364">
        <v>1.5</v>
      </c>
      <c r="T12" s="329">
        <f>AVERAGE(R12:R13)*S12</f>
        <v>18</v>
      </c>
    </row>
    <row r="13" spans="1:20" ht="47.4" thickBot="1">
      <c r="A13" s="314"/>
      <c r="B13" s="199">
        <f>Data!A29</f>
        <v>2.2000000000000002</v>
      </c>
      <c r="C13" s="146" t="str">
        <f>Data!B29</f>
        <v>Review of State-of-the-Art</v>
      </c>
      <c r="D13" s="147" t="str">
        <f>Data!C29</f>
        <v>Introduces relevant products and technologies that exist in research or the market. Introduces appropriate metrics to describe the State-of-Art performance.</v>
      </c>
      <c r="E13" s="148" t="s">
        <v>29</v>
      </c>
      <c r="F13" s="149"/>
      <c r="G13" s="149"/>
      <c r="H13" s="149"/>
      <c r="I13" s="149"/>
      <c r="J13" s="149"/>
      <c r="K13" s="149"/>
      <c r="L13" s="149"/>
      <c r="M13" s="149"/>
      <c r="N13" s="149"/>
      <c r="O13" s="149"/>
      <c r="P13" s="149"/>
      <c r="Q13" s="150"/>
      <c r="R13" s="29">
        <f t="shared" si="0"/>
        <v>12</v>
      </c>
      <c r="S13" s="429"/>
      <c r="T13" s="330"/>
    </row>
    <row r="14" spans="1:20" ht="31.5" customHeight="1" thickTop="1" thickBot="1">
      <c r="A14" s="136" t="s">
        <v>20</v>
      </c>
      <c r="B14" s="388"/>
      <c r="C14" s="346"/>
      <c r="D14" s="346"/>
      <c r="E14" s="346"/>
      <c r="F14" s="346"/>
      <c r="G14" s="346"/>
      <c r="H14" s="346"/>
      <c r="I14" s="346"/>
      <c r="J14" s="346"/>
      <c r="K14" s="346"/>
      <c r="L14" s="346"/>
      <c r="M14" s="346"/>
      <c r="N14" s="346"/>
      <c r="O14" s="346"/>
      <c r="P14" s="346"/>
      <c r="Q14" s="346"/>
      <c r="R14" s="346"/>
      <c r="S14" s="346"/>
      <c r="T14" s="430"/>
    </row>
    <row r="15" spans="1:20" ht="31.8" thickTop="1">
      <c r="A15" s="315" t="s">
        <v>38</v>
      </c>
      <c r="B15" s="198">
        <f>Data!A41</f>
        <v>5.4</v>
      </c>
      <c r="C15" s="258" t="str">
        <f>Data!B41</f>
        <v xml:space="preserve">Final Design Description </v>
      </c>
      <c r="D15" s="165" t="str">
        <f>Data!C41</f>
        <v xml:space="preserve">Describes all aspects of the final design and how it meets the client's requirements. </v>
      </c>
      <c r="E15" s="131" t="s">
        <v>29</v>
      </c>
      <c r="F15" s="178"/>
      <c r="G15" s="178"/>
      <c r="H15" s="178"/>
      <c r="I15" s="178"/>
      <c r="J15" s="178"/>
      <c r="K15" s="178"/>
      <c r="L15" s="178"/>
      <c r="M15" s="178"/>
      <c r="N15" s="178"/>
      <c r="O15" s="178"/>
      <c r="P15" s="178"/>
      <c r="Q15" s="154"/>
      <c r="R15" s="28">
        <f t="shared" si="0"/>
        <v>12</v>
      </c>
      <c r="S15" s="364">
        <v>1.5</v>
      </c>
      <c r="T15" s="329">
        <f>AVERAGE(R15:R16)*S15</f>
        <v>18</v>
      </c>
    </row>
    <row r="16" spans="1:20" ht="31.8" thickBot="1">
      <c r="A16" s="314"/>
      <c r="B16" s="199">
        <f>Data!A43</f>
        <v>5.6</v>
      </c>
      <c r="C16" s="147" t="str">
        <f>Data!B43</f>
        <v>Mathematical Modeling (Lit review)</v>
      </c>
      <c r="D16" s="147" t="str">
        <f>Data!C43</f>
        <v xml:space="preserve">Define all analytical approaches to be used to support confirmation that your system design will meet the client requirements.  </v>
      </c>
      <c r="E16" s="148" t="s">
        <v>29</v>
      </c>
      <c r="F16" s="149"/>
      <c r="G16" s="149"/>
      <c r="H16" s="149"/>
      <c r="I16" s="149"/>
      <c r="J16" s="149"/>
      <c r="K16" s="149"/>
      <c r="L16" s="149"/>
      <c r="M16" s="149"/>
      <c r="N16" s="149"/>
      <c r="O16" s="149"/>
      <c r="P16" s="149"/>
      <c r="Q16" s="150"/>
      <c r="R16" s="29">
        <f t="shared" si="0"/>
        <v>12</v>
      </c>
      <c r="S16" s="429"/>
      <c r="T16" s="330"/>
    </row>
    <row r="17" spans="1:20" ht="31.5" customHeight="1" thickTop="1" thickBot="1">
      <c r="A17" s="136" t="s">
        <v>20</v>
      </c>
      <c r="B17" s="388"/>
      <c r="C17" s="346"/>
      <c r="D17" s="346"/>
      <c r="E17" s="346"/>
      <c r="F17" s="346"/>
      <c r="G17" s="346"/>
      <c r="H17" s="346"/>
      <c r="I17" s="346"/>
      <c r="J17" s="346"/>
      <c r="K17" s="346"/>
      <c r="L17" s="346"/>
      <c r="M17" s="346"/>
      <c r="N17" s="346"/>
      <c r="O17" s="346"/>
      <c r="P17" s="346"/>
      <c r="Q17" s="346"/>
      <c r="R17" s="346"/>
      <c r="S17" s="346"/>
      <c r="T17" s="430"/>
    </row>
    <row r="18" spans="1:20" ht="16.8" thickTop="1" thickBot="1">
      <c r="A18" s="136" t="s">
        <v>61</v>
      </c>
      <c r="B18" s="167"/>
      <c r="C18" s="245" t="str">
        <f>Data!B14</f>
        <v>Demo Video</v>
      </c>
      <c r="D18" s="245" t="str">
        <f>Data!C14</f>
        <v>Video uploaded into the proper location(s)</v>
      </c>
      <c r="E18" s="133" t="s">
        <v>29</v>
      </c>
      <c r="F18" s="137"/>
      <c r="G18" s="137"/>
      <c r="H18" s="137"/>
      <c r="I18" s="137"/>
      <c r="J18" s="137"/>
      <c r="K18" s="137"/>
      <c r="L18" s="137"/>
      <c r="M18" s="137"/>
      <c r="N18" s="137"/>
      <c r="O18" s="137"/>
      <c r="P18" s="137"/>
      <c r="Q18" s="138"/>
      <c r="R18" s="45">
        <f t="shared" si="0"/>
        <v>12</v>
      </c>
      <c r="S18" s="64">
        <v>2</v>
      </c>
      <c r="T18" s="247">
        <f>AVERAGE(R18:R18)*S18</f>
        <v>24</v>
      </c>
    </row>
    <row r="19" spans="1:20" ht="16.2" thickTop="1">
      <c r="A19" s="315" t="s">
        <v>20</v>
      </c>
      <c r="B19" s="437"/>
      <c r="C19" s="321"/>
      <c r="D19" s="321"/>
      <c r="E19" s="321"/>
      <c r="F19" s="321"/>
      <c r="G19" s="321"/>
      <c r="H19" s="321"/>
      <c r="I19" s="321"/>
      <c r="J19" s="321"/>
      <c r="K19" s="321"/>
      <c r="L19" s="321"/>
      <c r="M19" s="321"/>
      <c r="N19" s="321"/>
      <c r="O19" s="321"/>
      <c r="P19" s="321"/>
      <c r="Q19" s="322"/>
      <c r="R19" s="366" t="s">
        <v>30</v>
      </c>
      <c r="S19" s="367"/>
      <c r="T19" s="67">
        <f>SUM(T4:T18)</f>
        <v>96</v>
      </c>
    </row>
    <row r="20" spans="1:20" ht="15.6">
      <c r="A20" s="318"/>
      <c r="B20" s="323"/>
      <c r="C20" s="324"/>
      <c r="D20" s="324"/>
      <c r="E20" s="324"/>
      <c r="F20" s="324"/>
      <c r="G20" s="324"/>
      <c r="H20" s="324"/>
      <c r="I20" s="324"/>
      <c r="J20" s="324"/>
      <c r="K20" s="324"/>
      <c r="L20" s="324"/>
      <c r="M20" s="324"/>
      <c r="N20" s="324"/>
      <c r="O20" s="324"/>
      <c r="P20" s="324"/>
      <c r="Q20" s="325"/>
      <c r="R20" s="368" t="s">
        <v>31</v>
      </c>
      <c r="S20" s="369"/>
      <c r="T20" s="68">
        <v>96</v>
      </c>
    </row>
    <row r="21" spans="1:20" ht="16.2" thickBot="1">
      <c r="A21" s="319"/>
      <c r="B21" s="326"/>
      <c r="C21" s="327"/>
      <c r="D21" s="327"/>
      <c r="E21" s="327"/>
      <c r="F21" s="327"/>
      <c r="G21" s="327"/>
      <c r="H21" s="327"/>
      <c r="I21" s="327"/>
      <c r="J21" s="327"/>
      <c r="K21" s="327"/>
      <c r="L21" s="327"/>
      <c r="M21" s="327"/>
      <c r="N21" s="327"/>
      <c r="O21" s="327"/>
      <c r="P21" s="327"/>
      <c r="Q21" s="328"/>
      <c r="R21" s="370" t="s">
        <v>32</v>
      </c>
      <c r="S21" s="371"/>
      <c r="T21" s="69">
        <f>T19/T20</f>
        <v>1</v>
      </c>
    </row>
    <row r="22" spans="1:20" ht="16.2" thickTop="1">
      <c r="P22" s="135"/>
    </row>
  </sheetData>
  <mergeCells count="22">
    <mergeCell ref="B7:T7"/>
    <mergeCell ref="R19:S19"/>
    <mergeCell ref="R20:S20"/>
    <mergeCell ref="R21:S21"/>
    <mergeCell ref="A2:T2"/>
    <mergeCell ref="A4:A6"/>
    <mergeCell ref="T4:T6"/>
    <mergeCell ref="A8:A10"/>
    <mergeCell ref="T8:T10"/>
    <mergeCell ref="A12:A13"/>
    <mergeCell ref="T12:T13"/>
    <mergeCell ref="A15:A16"/>
    <mergeCell ref="T15:T16"/>
    <mergeCell ref="S4:S6"/>
    <mergeCell ref="S8:S10"/>
    <mergeCell ref="S12:S13"/>
    <mergeCell ref="A19:A21"/>
    <mergeCell ref="B19:Q21"/>
    <mergeCell ref="B17:T17"/>
    <mergeCell ref="B14:T14"/>
    <mergeCell ref="B11:T11"/>
    <mergeCell ref="S15:S16"/>
  </mergeCells>
  <printOptions horizontalCentered="1"/>
  <pageMargins left="0.45" right="0.45" top="0.5" bottom="0.5" header="0.3" footer="0.3"/>
  <pageSetup scale="62" fitToHeight="2"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44350-7FD1-4687-9B28-96A9D94BE491}">
  <sheetPr>
    <tabColor theme="9" tint="0.79998168889431442"/>
    <pageSetUpPr fitToPage="1"/>
  </sheetPr>
  <dimension ref="A1:T37"/>
  <sheetViews>
    <sheetView zoomScaleNormal="100" workbookViewId="0">
      <pane ySplit="3" topLeftCell="A23" activePane="bottomLeft" state="frozen"/>
      <selection pane="bottomLeft" activeCell="A23" sqref="A23:A24"/>
    </sheetView>
  </sheetViews>
  <sheetFormatPr defaultColWidth="8.6640625" defaultRowHeight="14.4"/>
  <cols>
    <col min="1" max="1" width="15.6640625" style="5" customWidth="1"/>
    <col min="2" max="2" width="6.6640625" style="3" customWidth="1"/>
    <col min="3" max="3" width="31.33203125" bestFit="1" customWidth="1"/>
    <col min="4" max="4" width="71.6640625" customWidth="1"/>
    <col min="5" max="5" width="12.33203125" bestFit="1" customWidth="1"/>
    <col min="6" max="7" width="4.44140625" customWidth="1"/>
    <col min="8" max="16" width="3.33203125" bestFit="1" customWidth="1"/>
    <col min="17" max="17" width="8.6640625" bestFit="1" customWidth="1"/>
    <col min="18" max="18" width="15.33203125" bestFit="1" customWidth="1"/>
    <col min="19" max="19" width="7.33203125" bestFit="1" customWidth="1"/>
    <col min="20" max="20" width="6.44140625" customWidth="1"/>
  </cols>
  <sheetData>
    <row r="1" spans="1:20" ht="15" thickBot="1"/>
    <row r="2" spans="1:20" ht="34.799999999999997" thickTop="1" thickBot="1">
      <c r="A2" s="372" t="s">
        <v>69</v>
      </c>
      <c r="B2" s="373"/>
      <c r="C2" s="373"/>
      <c r="D2" s="373"/>
      <c r="E2" s="373"/>
      <c r="F2" s="373"/>
      <c r="G2" s="373"/>
      <c r="H2" s="373"/>
      <c r="I2" s="373"/>
      <c r="J2" s="373"/>
      <c r="K2" s="373"/>
      <c r="L2" s="373"/>
      <c r="M2" s="373"/>
      <c r="N2" s="373"/>
      <c r="O2" s="373"/>
      <c r="P2" s="373"/>
      <c r="Q2" s="373"/>
      <c r="R2" s="373"/>
      <c r="S2" s="373"/>
      <c r="T2" s="374"/>
    </row>
    <row r="3" spans="1:20" ht="63.6" thickTop="1" thickBot="1">
      <c r="A3" s="136" t="s">
        <v>1</v>
      </c>
      <c r="B3" s="136" t="s">
        <v>35</v>
      </c>
      <c r="C3" s="136" t="s">
        <v>3</v>
      </c>
      <c r="D3" s="136" t="s">
        <v>51</v>
      </c>
      <c r="E3" s="133" t="s">
        <v>5</v>
      </c>
      <c r="F3" s="137" t="s">
        <v>6</v>
      </c>
      <c r="G3" s="137" t="s">
        <v>7</v>
      </c>
      <c r="H3" s="137" t="s">
        <v>8</v>
      </c>
      <c r="I3" s="137" t="s">
        <v>9</v>
      </c>
      <c r="J3" s="137" t="s">
        <v>10</v>
      </c>
      <c r="K3" s="137" t="s">
        <v>11</v>
      </c>
      <c r="L3" s="137" t="s">
        <v>12</v>
      </c>
      <c r="M3" s="137" t="s">
        <v>13</v>
      </c>
      <c r="N3" s="137" t="s">
        <v>14</v>
      </c>
      <c r="O3" s="137" t="s">
        <v>15</v>
      </c>
      <c r="P3" s="137" t="s">
        <v>16</v>
      </c>
      <c r="Q3" s="138" t="s">
        <v>17</v>
      </c>
      <c r="R3" s="133" t="s">
        <v>18</v>
      </c>
      <c r="S3" s="177" t="s">
        <v>42</v>
      </c>
      <c r="T3" s="138" t="s">
        <v>19</v>
      </c>
    </row>
    <row r="4" spans="1:20" ht="16.2" thickTop="1">
      <c r="A4" s="315" t="s">
        <v>43</v>
      </c>
      <c r="B4" s="151" t="str">
        <f>Data!A6</f>
        <v>ii</v>
      </c>
      <c r="C4" s="152" t="str">
        <f>Data!B6</f>
        <v>Executive Summary</v>
      </c>
      <c r="D4" s="445" t="s">
        <v>70</v>
      </c>
      <c r="E4" s="131"/>
      <c r="F4" s="178"/>
      <c r="G4" s="178"/>
      <c r="H4" s="178" t="s">
        <v>22</v>
      </c>
      <c r="I4" s="178"/>
      <c r="J4" s="178"/>
      <c r="K4" s="178"/>
      <c r="L4" s="178"/>
      <c r="M4" s="178"/>
      <c r="N4" s="178"/>
      <c r="O4" s="178"/>
      <c r="P4" s="178"/>
      <c r="Q4" s="154"/>
      <c r="R4" s="28">
        <f>IF(E4="x",12,IF(F4="x",11,IF(G4="x",10,IF(H4="x",9,IF(I4="x",8,IF(J4="x",7,IF(K4="x",6,IF(L4="x",5,IF(M4="x",4,IF(N4="x",3,IF(O4="x",2,IF(P4="x",1,IF(Q4="x",0,"")))))))))))))</f>
        <v>9</v>
      </c>
      <c r="S4" s="364">
        <v>1</v>
      </c>
      <c r="T4" s="329">
        <f>AVERAGE(R4:R13)*S4</f>
        <v>11.7</v>
      </c>
    </row>
    <row r="5" spans="1:20" ht="15.6">
      <c r="A5" s="316"/>
      <c r="B5" s="155">
        <f>Data!A40</f>
        <v>5.3</v>
      </c>
      <c r="C5" s="156" t="str">
        <f>Data!B40</f>
        <v>Down Selection Process</v>
      </c>
      <c r="D5" s="446"/>
      <c r="E5" s="130" t="s">
        <v>22</v>
      </c>
      <c r="F5" s="134"/>
      <c r="G5" s="134"/>
      <c r="H5" s="134"/>
      <c r="I5" s="134"/>
      <c r="J5" s="134"/>
      <c r="K5" s="134"/>
      <c r="L5" s="134"/>
      <c r="M5" s="134"/>
      <c r="N5" s="134"/>
      <c r="O5" s="134"/>
      <c r="P5" s="134"/>
      <c r="Q5" s="158"/>
      <c r="R5" s="32">
        <f t="shared" ref="R5:R33" si="0">IF(E5="x",12,IF(F5="x",11,IF(G5="x",10,IF(H5="x",9,IF(I5="x",8,IF(J5="x",7,IF(K5="x",6,IF(L5="x",5,IF(M5="x",4,IF(N5="x",3,IF(O5="x",2,IF(P5="x",1,IF(Q5="x",0,"")))))))))))))</f>
        <v>12</v>
      </c>
      <c r="S5" s="428"/>
      <c r="T5" s="331"/>
    </row>
    <row r="6" spans="1:20" ht="15.6">
      <c r="A6" s="316"/>
      <c r="B6" s="155">
        <f>Data!A41</f>
        <v>5.4</v>
      </c>
      <c r="C6" s="156" t="str">
        <f>Data!B41</f>
        <v xml:space="preserve">Final Design Description </v>
      </c>
      <c r="D6" s="446"/>
      <c r="E6" s="130" t="s">
        <v>22</v>
      </c>
      <c r="F6" s="134"/>
      <c r="G6" s="134"/>
      <c r="H6" s="134"/>
      <c r="I6" s="134"/>
      <c r="J6" s="134"/>
      <c r="K6" s="134"/>
      <c r="L6" s="134"/>
      <c r="M6" s="134"/>
      <c r="N6" s="134"/>
      <c r="O6" s="134"/>
      <c r="P6" s="134"/>
      <c r="Q6" s="158"/>
      <c r="R6" s="32">
        <f t="shared" si="0"/>
        <v>12</v>
      </c>
      <c r="S6" s="428"/>
      <c r="T6" s="331"/>
    </row>
    <row r="7" spans="1:20" ht="31.2">
      <c r="A7" s="316"/>
      <c r="B7" s="155">
        <f>Data!A42</f>
        <v>5.5</v>
      </c>
      <c r="C7" s="156" t="str">
        <f>Data!B42</f>
        <v xml:space="preserve">Design Calculations &amp; Analysis Results </v>
      </c>
      <c r="D7" s="446"/>
      <c r="E7" s="130" t="s">
        <v>22</v>
      </c>
      <c r="F7" s="134"/>
      <c r="G7" s="134"/>
      <c r="H7" s="134"/>
      <c r="I7" s="134"/>
      <c r="J7" s="134"/>
      <c r="K7" s="134"/>
      <c r="L7" s="134"/>
      <c r="M7" s="134"/>
      <c r="N7" s="134"/>
      <c r="O7" s="134"/>
      <c r="P7" s="134"/>
      <c r="Q7" s="158"/>
      <c r="R7" s="32">
        <f t="shared" si="0"/>
        <v>12</v>
      </c>
      <c r="S7" s="428"/>
      <c r="T7" s="331"/>
    </row>
    <row r="8" spans="1:20" ht="31.2">
      <c r="A8" s="316"/>
      <c r="B8" s="155">
        <f>Data!A43</f>
        <v>5.6</v>
      </c>
      <c r="C8" s="156" t="str">
        <f>Data!B43</f>
        <v>Mathematical Modeling (Lit review)</v>
      </c>
      <c r="D8" s="446"/>
      <c r="E8" s="130" t="s">
        <v>22</v>
      </c>
      <c r="F8" s="134"/>
      <c r="G8" s="134"/>
      <c r="H8" s="134"/>
      <c r="I8" s="134"/>
      <c r="J8" s="134"/>
      <c r="K8" s="134"/>
      <c r="L8" s="134"/>
      <c r="M8" s="134"/>
      <c r="N8" s="134"/>
      <c r="O8" s="134"/>
      <c r="P8" s="134"/>
      <c r="Q8" s="158"/>
      <c r="R8" s="32">
        <f t="shared" si="0"/>
        <v>12</v>
      </c>
      <c r="S8" s="428"/>
      <c r="T8" s="331"/>
    </row>
    <row r="9" spans="1:20" ht="31.2">
      <c r="A9" s="316"/>
      <c r="B9" s="155">
        <f>Data!A50</f>
        <v>6.5</v>
      </c>
      <c r="C9" s="156" t="str">
        <f>Data!B50</f>
        <v>System Design Bill of Materials (BOM)</v>
      </c>
      <c r="D9" s="446"/>
      <c r="E9" s="130" t="s">
        <v>22</v>
      </c>
      <c r="F9" s="134"/>
      <c r="G9" s="134"/>
      <c r="H9" s="134"/>
      <c r="I9" s="134"/>
      <c r="J9" s="134"/>
      <c r="K9" s="134"/>
      <c r="L9" s="134"/>
      <c r="M9" s="134"/>
      <c r="N9" s="134"/>
      <c r="O9" s="134"/>
      <c r="P9" s="134"/>
      <c r="Q9" s="158"/>
      <c r="R9" s="32">
        <f t="shared" si="0"/>
        <v>12</v>
      </c>
      <c r="S9" s="428"/>
      <c r="T9" s="331"/>
    </row>
    <row r="10" spans="1:20" ht="31.2">
      <c r="A10" s="316"/>
      <c r="B10" s="244">
        <f>Data!A52</f>
        <v>7.1</v>
      </c>
      <c r="C10" s="156" t="str">
        <f>Data!B52</f>
        <v>Failure Modes and Effects Analysis (FMEA)</v>
      </c>
      <c r="D10" s="446"/>
      <c r="E10" s="130" t="s">
        <v>22</v>
      </c>
      <c r="F10" s="134"/>
      <c r="G10" s="134"/>
      <c r="H10" s="134"/>
      <c r="I10" s="134"/>
      <c r="J10" s="134"/>
      <c r="K10" s="134"/>
      <c r="L10" s="134"/>
      <c r="M10" s="134"/>
      <c r="N10" s="134"/>
      <c r="O10" s="134"/>
      <c r="P10" s="134"/>
      <c r="Q10" s="158"/>
      <c r="R10" s="32">
        <f t="shared" si="0"/>
        <v>12</v>
      </c>
      <c r="S10" s="428"/>
      <c r="T10" s="331"/>
    </row>
    <row r="11" spans="1:20" ht="15.6">
      <c r="A11" s="316"/>
      <c r="B11" s="155">
        <f>Data!A54</f>
        <v>8.1</v>
      </c>
      <c r="C11" s="156" t="str">
        <f>Data!B54</f>
        <v>Parts Requisition</v>
      </c>
      <c r="D11" s="446"/>
      <c r="E11" s="130" t="s">
        <v>22</v>
      </c>
      <c r="F11" s="134"/>
      <c r="G11" s="134"/>
      <c r="H11" s="134"/>
      <c r="I11" s="134"/>
      <c r="J11" s="134"/>
      <c r="K11" s="134"/>
      <c r="L11" s="134"/>
      <c r="M11" s="134"/>
      <c r="N11" s="134"/>
      <c r="O11" s="134"/>
      <c r="P11" s="134"/>
      <c r="Q11" s="158"/>
      <c r="R11" s="32">
        <f t="shared" si="0"/>
        <v>12</v>
      </c>
      <c r="S11" s="428"/>
      <c r="T11" s="331"/>
    </row>
    <row r="12" spans="1:20" ht="15.6">
      <c r="A12" s="316"/>
      <c r="B12" s="155">
        <f>Data!A55</f>
        <v>8.1999999999999993</v>
      </c>
      <c r="C12" s="156" t="str">
        <f>Data!B55</f>
        <v>Fabrication Plan</v>
      </c>
      <c r="D12" s="446"/>
      <c r="E12" s="130" t="s">
        <v>22</v>
      </c>
      <c r="F12" s="134"/>
      <c r="G12" s="134"/>
      <c r="H12" s="134"/>
      <c r="I12" s="134"/>
      <c r="J12" s="134"/>
      <c r="K12" s="134"/>
      <c r="L12" s="134"/>
      <c r="M12" s="134"/>
      <c r="N12" s="134"/>
      <c r="O12" s="134"/>
      <c r="P12" s="134"/>
      <c r="Q12" s="158"/>
      <c r="R12" s="32">
        <f t="shared" si="0"/>
        <v>12</v>
      </c>
      <c r="S12" s="428"/>
      <c r="T12" s="331"/>
    </row>
    <row r="13" spans="1:20" ht="16.2" thickBot="1">
      <c r="A13" s="314"/>
      <c r="B13" s="199">
        <f>Data!A67</f>
        <v>10.3</v>
      </c>
      <c r="C13" s="146" t="str">
        <f>Data!B67</f>
        <v>MS Teams File Documentation</v>
      </c>
      <c r="D13" s="447"/>
      <c r="E13" s="148" t="s">
        <v>22</v>
      </c>
      <c r="F13" s="149"/>
      <c r="G13" s="149"/>
      <c r="H13" s="149"/>
      <c r="I13" s="149"/>
      <c r="J13" s="149"/>
      <c r="K13" s="149"/>
      <c r="L13" s="149"/>
      <c r="M13" s="149"/>
      <c r="N13" s="149"/>
      <c r="O13" s="149"/>
      <c r="P13" s="149"/>
      <c r="Q13" s="150"/>
      <c r="R13" s="29">
        <f t="shared" si="0"/>
        <v>12</v>
      </c>
      <c r="S13" s="429"/>
      <c r="T13" s="330"/>
    </row>
    <row r="14" spans="1:20" ht="63" thickTop="1">
      <c r="A14" s="315" t="s">
        <v>66</v>
      </c>
      <c r="B14" s="198">
        <f>Data!A46</f>
        <v>6.1</v>
      </c>
      <c r="C14" s="152" t="str">
        <f>Data!B46</f>
        <v>Mechanical Design</v>
      </c>
      <c r="D14" s="165" t="str">
        <f>Data!C46</f>
        <v>Provides a mechanical description for the project design with sufficient detail for fabrication/manufacturing/assembly. The descriptions include tolerances, part numbering, and material specifications. Provides a manufacturing plan for each part.</v>
      </c>
      <c r="E14" s="131" t="s">
        <v>22</v>
      </c>
      <c r="F14" s="178"/>
      <c r="G14" s="178"/>
      <c r="H14" s="178"/>
      <c r="I14" s="178"/>
      <c r="J14" s="178"/>
      <c r="K14" s="178"/>
      <c r="L14" s="178"/>
      <c r="M14" s="178"/>
      <c r="N14" s="178"/>
      <c r="O14" s="178"/>
      <c r="P14" s="178"/>
      <c r="Q14" s="154"/>
      <c r="R14" s="28">
        <f t="shared" si="0"/>
        <v>12</v>
      </c>
      <c r="S14" s="364">
        <v>1</v>
      </c>
      <c r="T14" s="329">
        <f>AVERAGE(R14:R17)*S14</f>
        <v>12</v>
      </c>
    </row>
    <row r="15" spans="1:20" ht="78">
      <c r="A15" s="316"/>
      <c r="B15" s="244">
        <f>Data!A47</f>
        <v>6.2</v>
      </c>
      <c r="C15" s="156" t="str">
        <f>Data!B47</f>
        <v>Electrical Design</v>
      </c>
      <c r="D15" s="166" t="str">
        <f>Data!C47</f>
        <v>Provides an electrical description for the project design with sufficient detail for fabrication/manufacturing/assembly. Provides complete circuit diagrams. Evaluates the results of circuit breadboards. Provides complete wiring diagrams including cables and connectors. Provides a PC board layout ready for production including mounting points.</v>
      </c>
      <c r="E15" s="130" t="s">
        <v>22</v>
      </c>
      <c r="F15" s="134"/>
      <c r="G15" s="134"/>
      <c r="H15" s="134"/>
      <c r="I15" s="134"/>
      <c r="J15" s="134"/>
      <c r="K15" s="134"/>
      <c r="L15" s="134"/>
      <c r="M15" s="134"/>
      <c r="N15" s="134"/>
      <c r="O15" s="134"/>
      <c r="P15" s="134"/>
      <c r="Q15" s="158"/>
      <c r="R15" s="32">
        <f t="shared" si="0"/>
        <v>12</v>
      </c>
      <c r="S15" s="428"/>
      <c r="T15" s="331"/>
    </row>
    <row r="16" spans="1:20" ht="46.8">
      <c r="A16" s="316"/>
      <c r="B16" s="244">
        <f>Data!A48</f>
        <v>6.3</v>
      </c>
      <c r="C16" s="156" t="str">
        <f>Data!B48</f>
        <v>Software &amp; Programming</v>
      </c>
      <c r="D16" s="166" t="str">
        <f>Data!C48</f>
        <v>Provides a description of the software for the project with sufficient detail for reproducibility and troubleshooting. Includes complete flow diagrams including links and operating interfaces.</v>
      </c>
      <c r="E16" s="130" t="s">
        <v>22</v>
      </c>
      <c r="F16" s="134"/>
      <c r="G16" s="134"/>
      <c r="H16" s="134"/>
      <c r="I16" s="134"/>
      <c r="J16" s="134"/>
      <c r="K16" s="134"/>
      <c r="L16" s="134"/>
      <c r="M16" s="134"/>
      <c r="N16" s="134"/>
      <c r="O16" s="134"/>
      <c r="P16" s="134"/>
      <c r="Q16" s="158"/>
      <c r="R16" s="32">
        <f t="shared" si="0"/>
        <v>12</v>
      </c>
      <c r="S16" s="428"/>
      <c r="T16" s="331"/>
    </row>
    <row r="17" spans="1:20" ht="31.8" thickBot="1">
      <c r="A17" s="314"/>
      <c r="B17" s="199">
        <f>Data!A49</f>
        <v>6.4</v>
      </c>
      <c r="C17" s="146" t="str">
        <f>Data!B49</f>
        <v>Technical Data Sheets</v>
      </c>
      <c r="D17" s="147" t="str">
        <f>Data!C49</f>
        <v xml:space="preserve">Introduce the equipment and purpose of use, and reference data sheet in Appendix. </v>
      </c>
      <c r="E17" s="148" t="s">
        <v>22</v>
      </c>
      <c r="F17" s="149"/>
      <c r="G17" s="149"/>
      <c r="H17" s="149"/>
      <c r="I17" s="149"/>
      <c r="J17" s="149"/>
      <c r="K17" s="149"/>
      <c r="L17" s="149"/>
      <c r="M17" s="149"/>
      <c r="N17" s="149"/>
      <c r="O17" s="149"/>
      <c r="P17" s="149"/>
      <c r="Q17" s="150"/>
      <c r="R17" s="29">
        <f t="shared" si="0"/>
        <v>12</v>
      </c>
      <c r="S17" s="429"/>
      <c r="T17" s="330"/>
    </row>
    <row r="18" spans="1:20" ht="79.2" thickTop="1" thickBot="1">
      <c r="A18" s="128" t="s">
        <v>71</v>
      </c>
      <c r="B18" s="259">
        <f>Data!A52</f>
        <v>7.1</v>
      </c>
      <c r="C18" s="260" t="str">
        <f>Data!B52</f>
        <v>Failure Modes and Effects Analysis (FMEA)</v>
      </c>
      <c r="D18" s="261" t="str">
        <f>Data!C52</f>
        <v>Provide a Failure Modes and Effects Analysis (FMEA) with discussion of results.  Components used for the device should be included. Tooling test equipment should not be included.  style. Include the appropriate level of visual aids (e.g., figures, tables) and technical detail to clearly define the various approaches researched.</v>
      </c>
      <c r="E18" s="129" t="s">
        <v>22</v>
      </c>
      <c r="F18" s="132"/>
      <c r="G18" s="132"/>
      <c r="H18" s="132"/>
      <c r="I18" s="132"/>
      <c r="J18" s="132"/>
      <c r="K18" s="132"/>
      <c r="L18" s="132"/>
      <c r="M18" s="132"/>
      <c r="N18" s="132"/>
      <c r="O18" s="132"/>
      <c r="P18" s="132"/>
      <c r="Q18" s="262"/>
      <c r="R18" s="29">
        <f t="shared" si="0"/>
        <v>12</v>
      </c>
      <c r="S18" s="127">
        <v>1</v>
      </c>
      <c r="T18" s="247">
        <f>AVERAGE(R18:R18)*S18</f>
        <v>12</v>
      </c>
    </row>
    <row r="19" spans="1:20" ht="79.2" thickTop="1" thickBot="1">
      <c r="A19" s="136" t="s">
        <v>72</v>
      </c>
      <c r="B19" s="136">
        <f>Data!A56</f>
        <v>8.3000000000000007</v>
      </c>
      <c r="C19" s="245" t="str">
        <f>Data!B56</f>
        <v>As Built / Implemented Documentation</v>
      </c>
      <c r="D19" s="263" t="str">
        <f>Data!C56</f>
        <v>Describe the differences between the 'as built' design vs. the intended design features. Provide sketches and/or CAD models as visual aids to support your description of the design differences. Explain how the as built prototype features may impact capturing data during the testing phase. Define any test plan modifications needed to capture your data.</v>
      </c>
      <c r="E19" s="133" t="s">
        <v>22</v>
      </c>
      <c r="F19" s="137"/>
      <c r="G19" s="137"/>
      <c r="H19" s="137"/>
      <c r="I19" s="137"/>
      <c r="J19" s="137"/>
      <c r="K19" s="137"/>
      <c r="L19" s="137"/>
      <c r="M19" s="137"/>
      <c r="N19" s="137"/>
      <c r="O19" s="137"/>
      <c r="P19" s="137"/>
      <c r="Q19" s="138"/>
      <c r="R19" s="45">
        <f t="shared" si="0"/>
        <v>12</v>
      </c>
      <c r="S19" s="64">
        <v>1</v>
      </c>
      <c r="T19" s="247">
        <f>AVERAGE(R19:R19)*S19</f>
        <v>12</v>
      </c>
    </row>
    <row r="20" spans="1:20" ht="94.2" thickTop="1">
      <c r="A20" s="315" t="s">
        <v>73</v>
      </c>
      <c r="B20" s="78">
        <f>Data!A61</f>
        <v>9.1</v>
      </c>
      <c r="C20" s="80" t="str">
        <f>Data!B61</f>
        <v>Test Plan &amp; Testing Phase</v>
      </c>
      <c r="D20" s="82" t="str">
        <f>Data!C61</f>
        <v>Well defined test plan appropriate to the expected level of testing. Testing requirements and test sequences developed and data recording methods identified.  All test equipment and sensor needs have been identified and ordered. Clearly defined plan in place for the type of data analysis method(s) to be used. Test location Identified and outside resources identified and ready to support testing as needed.</v>
      </c>
      <c r="E20" s="131" t="s">
        <v>22</v>
      </c>
      <c r="F20" s="178"/>
      <c r="G20" s="178"/>
      <c r="H20" s="178"/>
      <c r="I20" s="178"/>
      <c r="J20" s="178"/>
      <c r="K20" s="178"/>
      <c r="L20" s="178"/>
      <c r="M20" s="178"/>
      <c r="N20" s="178"/>
      <c r="O20" s="178"/>
      <c r="P20" s="178"/>
      <c r="Q20" s="154"/>
      <c r="R20" s="28">
        <f t="shared" si="0"/>
        <v>12</v>
      </c>
      <c r="S20" s="364">
        <v>2</v>
      </c>
      <c r="T20" s="329">
        <f>AVERAGE(R20:R22)*S20</f>
        <v>24</v>
      </c>
    </row>
    <row r="21" spans="1:20" ht="31.2">
      <c r="A21" s="316"/>
      <c r="B21" s="79">
        <f>Data!A62</f>
        <v>9.1999999999999993</v>
      </c>
      <c r="C21" s="81" t="str">
        <f>Data!B62</f>
        <v>Test Results and Data Analysis</v>
      </c>
      <c r="D21" s="83" t="str">
        <f>Data!C62</f>
        <v>Captured test data properly documented  and organized.  Analysis of test data clearly justifies the final conclusions of the test efforts.</v>
      </c>
      <c r="E21" s="130" t="s">
        <v>22</v>
      </c>
      <c r="F21" s="134"/>
      <c r="G21" s="134"/>
      <c r="H21" s="134"/>
      <c r="I21" s="134"/>
      <c r="J21" s="134"/>
      <c r="K21" s="134"/>
      <c r="L21" s="134"/>
      <c r="M21" s="134"/>
      <c r="N21" s="134"/>
      <c r="O21" s="134"/>
      <c r="P21" s="134"/>
      <c r="Q21" s="158"/>
      <c r="R21" s="32">
        <f t="shared" si="0"/>
        <v>12</v>
      </c>
      <c r="S21" s="428"/>
      <c r="T21" s="331"/>
    </row>
    <row r="22" spans="1:20" ht="78.599999999999994" thickBot="1">
      <c r="A22" s="314"/>
      <c r="B22" s="119">
        <f>Data!A63</f>
        <v>9.3000000000000007</v>
      </c>
      <c r="C22" s="120" t="str">
        <f>Data!B63</f>
        <v>Corrective Action Plan (if needed)</v>
      </c>
      <c r="D22" s="75" t="str">
        <f>Data!C63</f>
        <v>If a product performance deficiency is found during test data analysis, create a detailed Corrective Action Plan that describes each deficiency found and how it will impact meeting the client requirements,  deliverables, and your project schedule. This action plan should be thoroughly reviewed and approved by the client.</v>
      </c>
      <c r="E22" s="148" t="s">
        <v>22</v>
      </c>
      <c r="F22" s="149"/>
      <c r="G22" s="149"/>
      <c r="H22" s="149"/>
      <c r="I22" s="149"/>
      <c r="J22" s="149"/>
      <c r="K22" s="149"/>
      <c r="L22" s="149"/>
      <c r="M22" s="149"/>
      <c r="N22" s="149"/>
      <c r="O22" s="149"/>
      <c r="P22" s="149"/>
      <c r="Q22" s="150"/>
      <c r="R22" s="29">
        <f t="shared" si="0"/>
        <v>12</v>
      </c>
      <c r="S22" s="429"/>
      <c r="T22" s="330"/>
    </row>
    <row r="23" spans="1:20" ht="78.599999999999994" thickTop="1">
      <c r="A23" s="315" t="s">
        <v>39</v>
      </c>
      <c r="B23" s="198">
        <f>Data!A65</f>
        <v>10.1</v>
      </c>
      <c r="C23" s="152" t="str">
        <f>Data!B65</f>
        <v>Project Schedule</v>
      </c>
      <c r="D23" s="165" t="str">
        <f>Data!C65</f>
        <v>Task descriptions contain an acceptable level of detail. Task predecessor links properly used with no open-ended tasks.  Task progress bar properly used to indicate % completion status of active tasks. All tasks set to Auto-Schedule mode. All Resource Names added. Milestones identified and properly linked. All task flow in a chronological order.</v>
      </c>
      <c r="E23" s="131" t="s">
        <v>22</v>
      </c>
      <c r="F23" s="178"/>
      <c r="G23" s="178"/>
      <c r="H23" s="178"/>
      <c r="I23" s="178"/>
      <c r="J23" s="178"/>
      <c r="K23" s="178"/>
      <c r="L23" s="178"/>
      <c r="M23" s="178"/>
      <c r="N23" s="178"/>
      <c r="O23" s="178"/>
      <c r="P23" s="178"/>
      <c r="Q23" s="154"/>
      <c r="R23" s="28">
        <f t="shared" si="0"/>
        <v>12</v>
      </c>
      <c r="S23" s="364">
        <v>0.5</v>
      </c>
      <c r="T23" s="329">
        <f>AVERAGE(R23:R24)*S23</f>
        <v>6</v>
      </c>
    </row>
    <row r="24" spans="1:20" ht="125.4" thickBot="1">
      <c r="A24" s="314"/>
      <c r="B24" s="199">
        <f>Data!A66</f>
        <v>10.199999999999999</v>
      </c>
      <c r="C24" s="146" t="str">
        <f>Data!B66</f>
        <v>Gantt Charts &amp; Critical Path</v>
      </c>
      <c r="D24" s="147" t="str">
        <f>Data!C66&amp;"6 Tasks."</f>
        <v>Gantt Chart(s): Properly formatted to clearly define project status details and all information in the Gantt Charts is aligned with the Gate requirements. Task level information clearly indicates an appropriate level of detail. Chart types are properly created as defined in the Project Schedule Guidelines. Critical Path: MS Project able to calculate critical path based on existing tasks and predecessor structure. Clearly defined and shown using the Level 3 chart format. Gantt Charts content should be To gate 6 Tasks.</v>
      </c>
      <c r="E24" s="148" t="s">
        <v>22</v>
      </c>
      <c r="F24" s="149"/>
      <c r="G24" s="149"/>
      <c r="H24" s="149"/>
      <c r="I24" s="149"/>
      <c r="J24" s="149"/>
      <c r="K24" s="149"/>
      <c r="L24" s="149"/>
      <c r="M24" s="149"/>
      <c r="N24" s="149"/>
      <c r="O24" s="149"/>
      <c r="P24" s="149"/>
      <c r="Q24" s="150"/>
      <c r="R24" s="29">
        <f t="shared" si="0"/>
        <v>12</v>
      </c>
      <c r="S24" s="429"/>
      <c r="T24" s="330"/>
    </row>
    <row r="25" spans="1:20" ht="31.8" thickTop="1">
      <c r="A25" s="315" t="s">
        <v>28</v>
      </c>
      <c r="B25" s="198"/>
      <c r="C25" s="152" t="str">
        <f>Data!B7</f>
        <v>Formatting and References</v>
      </c>
      <c r="D25" s="165" t="str">
        <f>Data!C7</f>
        <v>Uses IEEE format to develop the Title Page, Table of Contents, Appendix, and Work Cited sections of this report.</v>
      </c>
      <c r="E25" s="131" t="s">
        <v>22</v>
      </c>
      <c r="F25" s="178"/>
      <c r="G25" s="178"/>
      <c r="H25" s="178"/>
      <c r="I25" s="178"/>
      <c r="J25" s="178"/>
      <c r="K25" s="178"/>
      <c r="L25" s="178"/>
      <c r="M25" s="178"/>
      <c r="N25" s="178"/>
      <c r="O25" s="178"/>
      <c r="P25" s="178"/>
      <c r="Q25" s="154"/>
      <c r="R25" s="28">
        <f t="shared" si="0"/>
        <v>12</v>
      </c>
      <c r="S25" s="364">
        <v>1</v>
      </c>
      <c r="T25" s="329">
        <f>AVERAGE(R25:R27)*S25</f>
        <v>12</v>
      </c>
    </row>
    <row r="26" spans="1:20" ht="46.8">
      <c r="A26" s="316"/>
      <c r="B26" s="244"/>
      <c r="C26" s="156" t="str">
        <f>Data!B8</f>
        <v>Text</v>
      </c>
      <c r="D26" s="166" t="str">
        <f>Data!C8</f>
        <v>Free of spelling and grammatical errors, text flows with contiguous threads, consistent format, use of 3rd person perspective, non-repeating ideas or information.</v>
      </c>
      <c r="E26" s="130" t="s">
        <v>22</v>
      </c>
      <c r="F26" s="134"/>
      <c r="G26" s="134"/>
      <c r="H26" s="134"/>
      <c r="I26" s="134"/>
      <c r="J26" s="134"/>
      <c r="K26" s="134"/>
      <c r="L26" s="134"/>
      <c r="M26" s="134"/>
      <c r="N26" s="134"/>
      <c r="O26" s="134"/>
      <c r="P26" s="134"/>
      <c r="Q26" s="158"/>
      <c r="R26" s="32">
        <f t="shared" si="0"/>
        <v>12</v>
      </c>
      <c r="S26" s="428"/>
      <c r="T26" s="331"/>
    </row>
    <row r="27" spans="1:20" ht="63" thickBot="1">
      <c r="A27" s="314"/>
      <c r="B27" s="145"/>
      <c r="C27" s="146" t="str">
        <f>Data!B9</f>
        <v>Visual Aids</v>
      </c>
      <c r="D27" s="147" t="str">
        <f>Data!C9</f>
        <v>Visual aids (all figures including hand sketches, photos, charts, etc. and tables) are clear and readable and of professional quality.  Graphic aspects labeled and linked to text to transmit critical information, units/scaling clear. Proper IEEE style utilized.</v>
      </c>
      <c r="E27" s="148" t="s">
        <v>22</v>
      </c>
      <c r="F27" s="149"/>
      <c r="G27" s="149"/>
      <c r="H27" s="149"/>
      <c r="I27" s="149"/>
      <c r="J27" s="149"/>
      <c r="K27" s="149"/>
      <c r="L27" s="149"/>
      <c r="M27" s="149"/>
      <c r="N27" s="149"/>
      <c r="O27" s="149"/>
      <c r="P27" s="149"/>
      <c r="Q27" s="150"/>
      <c r="R27" s="29">
        <f t="shared" si="0"/>
        <v>12</v>
      </c>
      <c r="S27" s="429"/>
      <c r="T27" s="330"/>
    </row>
    <row r="28" spans="1:20" ht="46.5" customHeight="1" thickTop="1">
      <c r="A28" s="439"/>
      <c r="B28" s="249" t="str">
        <f>Data!A79</f>
        <v>A5</v>
      </c>
      <c r="C28" s="264" t="str">
        <f>Data!B79</f>
        <v>Mechanical Drawings</v>
      </c>
      <c r="D28" s="251" t="str">
        <f>Data!C79</f>
        <v xml:space="preserve">Provides a full engineering mechanical description and documentation for the project design in sufficient detail that the design could be manufactured/produced/assembled. </v>
      </c>
      <c r="E28" s="131" t="s">
        <v>22</v>
      </c>
      <c r="F28" s="178"/>
      <c r="G28" s="178"/>
      <c r="H28" s="178"/>
      <c r="I28" s="178"/>
      <c r="J28" s="178"/>
      <c r="K28" s="178"/>
      <c r="L28" s="178"/>
      <c r="M28" s="178"/>
      <c r="N28" s="178"/>
      <c r="O28" s="178"/>
      <c r="P28" s="178"/>
      <c r="Q28" s="154"/>
      <c r="R28" s="28">
        <f t="shared" si="0"/>
        <v>12</v>
      </c>
      <c r="S28" s="364">
        <v>0.5</v>
      </c>
      <c r="T28" s="329">
        <f>AVERAGE(R28:R33)*S28</f>
        <v>6</v>
      </c>
    </row>
    <row r="29" spans="1:20" ht="46.5" customHeight="1">
      <c r="A29" s="440"/>
      <c r="B29" s="252" t="str">
        <f>Data!A80</f>
        <v>A6</v>
      </c>
      <c r="C29" s="265" t="str">
        <f>Data!B80</f>
        <v>Electrical Drawings</v>
      </c>
      <c r="D29" s="254" t="str">
        <f>Data!C80</f>
        <v xml:space="preserve">Provides a full engineering electrical description and documentation for the project design in sufficient detail that the design could be manufactured/produced/assembled. </v>
      </c>
      <c r="E29" s="130" t="s">
        <v>22</v>
      </c>
      <c r="F29" s="134"/>
      <c r="G29" s="134"/>
      <c r="H29" s="134"/>
      <c r="I29" s="134"/>
      <c r="J29" s="134"/>
      <c r="K29" s="134"/>
      <c r="L29" s="134"/>
      <c r="M29" s="134"/>
      <c r="N29" s="134"/>
      <c r="O29" s="134"/>
      <c r="P29" s="134"/>
      <c r="Q29" s="158"/>
      <c r="R29" s="32">
        <v>12</v>
      </c>
      <c r="S29" s="428"/>
      <c r="T29" s="331"/>
    </row>
    <row r="30" spans="1:20" ht="31.5" customHeight="1">
      <c r="A30" s="440"/>
      <c r="B30" s="252" t="str">
        <f>Data!A81</f>
        <v>A7</v>
      </c>
      <c r="C30" s="265" t="str">
        <f>Data!B81</f>
        <v>Software and Programming Files</v>
      </c>
      <c r="D30" s="254" t="str">
        <f>Data!C81</f>
        <v>Provides a full engineering software  description and documentation for the project design in sufficient detail that the program can be reproduced.</v>
      </c>
      <c r="E30" s="130" t="s">
        <v>22</v>
      </c>
      <c r="F30" s="134"/>
      <c r="G30" s="134"/>
      <c r="H30" s="134"/>
      <c r="I30" s="134"/>
      <c r="J30" s="134"/>
      <c r="K30" s="134"/>
      <c r="L30" s="134"/>
      <c r="M30" s="134"/>
      <c r="N30" s="134"/>
      <c r="O30" s="134"/>
      <c r="P30" s="134"/>
      <c r="Q30" s="158"/>
      <c r="R30" s="32">
        <f t="shared" si="0"/>
        <v>12</v>
      </c>
      <c r="S30" s="428"/>
      <c r="T30" s="331"/>
    </row>
    <row r="31" spans="1:20" ht="15.75" customHeight="1">
      <c r="A31" s="440"/>
      <c r="B31" s="252" t="str">
        <f>Data!A82</f>
        <v>A8</v>
      </c>
      <c r="C31" s="265" t="str">
        <f>Data!B82</f>
        <v>Technical Data Sheets</v>
      </c>
      <c r="D31" s="254" t="str">
        <f>Data!C82</f>
        <v xml:space="preserve">All manufacturers' data sheets attached. </v>
      </c>
      <c r="E31" s="130" t="s">
        <v>22</v>
      </c>
      <c r="F31" s="134"/>
      <c r="G31" s="134"/>
      <c r="H31" s="134"/>
      <c r="I31" s="134"/>
      <c r="J31" s="134"/>
      <c r="K31" s="134"/>
      <c r="L31" s="134"/>
      <c r="M31" s="134"/>
      <c r="N31" s="134"/>
      <c r="O31" s="134"/>
      <c r="P31" s="134"/>
      <c r="Q31" s="158"/>
      <c r="R31" s="32">
        <f t="shared" si="0"/>
        <v>12</v>
      </c>
      <c r="S31" s="428"/>
      <c r="T31" s="448"/>
    </row>
    <row r="32" spans="1:20" ht="31.5" customHeight="1">
      <c r="A32" s="440"/>
      <c r="B32" s="252" t="str">
        <f>Data!A83</f>
        <v>A9</v>
      </c>
      <c r="C32" s="265" t="str">
        <f>Data!B83</f>
        <v>Failure Modes and Effects Analysis (FMEA)</v>
      </c>
      <c r="D32" s="254" t="str">
        <f>Data!C83</f>
        <v>Attach the FMEA in the Appendix</v>
      </c>
      <c r="E32" s="130" t="s">
        <v>22</v>
      </c>
      <c r="F32" s="134"/>
      <c r="G32" s="134"/>
      <c r="H32" s="134"/>
      <c r="I32" s="134"/>
      <c r="J32" s="134"/>
      <c r="K32" s="134"/>
      <c r="L32" s="134"/>
      <c r="M32" s="134"/>
      <c r="N32" s="134"/>
      <c r="O32" s="134"/>
      <c r="P32" s="134"/>
      <c r="Q32" s="158"/>
      <c r="R32" s="32">
        <f t="shared" si="0"/>
        <v>12</v>
      </c>
      <c r="S32" s="428"/>
      <c r="T32" s="448"/>
    </row>
    <row r="33" spans="1:20" ht="16.5" customHeight="1" thickBot="1">
      <c r="A33" s="441"/>
      <c r="B33" s="255" t="str">
        <f>Data!A84</f>
        <v>A10</v>
      </c>
      <c r="C33" s="266" t="str">
        <f>Data!B84</f>
        <v>Parts Requisition Forms</v>
      </c>
      <c r="D33" s="257" t="str">
        <f>Data!C84</f>
        <v>Contains copies of all parts requisition form submitted</v>
      </c>
      <c r="E33" s="148" t="s">
        <v>22</v>
      </c>
      <c r="F33" s="149"/>
      <c r="G33" s="149"/>
      <c r="H33" s="149"/>
      <c r="I33" s="149"/>
      <c r="J33" s="149"/>
      <c r="K33" s="149"/>
      <c r="L33" s="149"/>
      <c r="M33" s="149"/>
      <c r="N33" s="149"/>
      <c r="O33" s="149"/>
      <c r="P33" s="149"/>
      <c r="Q33" s="150"/>
      <c r="R33" s="29">
        <f t="shared" si="0"/>
        <v>12</v>
      </c>
      <c r="S33" s="429"/>
      <c r="T33" s="449"/>
    </row>
    <row r="34" spans="1:20" ht="16.2" thickTop="1">
      <c r="A34" s="315" t="s">
        <v>20</v>
      </c>
      <c r="B34" s="437"/>
      <c r="C34" s="321"/>
      <c r="D34" s="321"/>
      <c r="E34" s="321"/>
      <c r="F34" s="321"/>
      <c r="G34" s="321"/>
      <c r="H34" s="321"/>
      <c r="I34" s="321"/>
      <c r="J34" s="321"/>
      <c r="K34" s="321"/>
      <c r="L34" s="321"/>
      <c r="M34" s="321"/>
      <c r="N34" s="321"/>
      <c r="O34" s="321"/>
      <c r="P34" s="321"/>
      <c r="Q34" s="322"/>
      <c r="R34" s="366" t="s">
        <v>30</v>
      </c>
      <c r="S34" s="367"/>
      <c r="T34" s="67">
        <f>SUM(T4:T33)</f>
        <v>95.7</v>
      </c>
    </row>
    <row r="35" spans="1:20" ht="15.6">
      <c r="A35" s="318"/>
      <c r="B35" s="323"/>
      <c r="C35" s="324"/>
      <c r="D35" s="324"/>
      <c r="E35" s="324"/>
      <c r="F35" s="324"/>
      <c r="G35" s="324"/>
      <c r="H35" s="324"/>
      <c r="I35" s="324"/>
      <c r="J35" s="324"/>
      <c r="K35" s="324"/>
      <c r="L35" s="324"/>
      <c r="M35" s="324"/>
      <c r="N35" s="324"/>
      <c r="O35" s="324"/>
      <c r="P35" s="324"/>
      <c r="Q35" s="325"/>
      <c r="R35" s="368" t="s">
        <v>31</v>
      </c>
      <c r="S35" s="369"/>
      <c r="T35" s="68">
        <v>96</v>
      </c>
    </row>
    <row r="36" spans="1:20" ht="16.2" thickBot="1">
      <c r="A36" s="319"/>
      <c r="B36" s="326"/>
      <c r="C36" s="327"/>
      <c r="D36" s="327"/>
      <c r="E36" s="327"/>
      <c r="F36" s="327"/>
      <c r="G36" s="327"/>
      <c r="H36" s="327"/>
      <c r="I36" s="327"/>
      <c r="J36" s="327"/>
      <c r="K36" s="327"/>
      <c r="L36" s="327"/>
      <c r="M36" s="327"/>
      <c r="N36" s="327"/>
      <c r="O36" s="327"/>
      <c r="P36" s="327"/>
      <c r="Q36" s="328"/>
      <c r="R36" s="370" t="s">
        <v>32</v>
      </c>
      <c r="S36" s="371"/>
      <c r="T36" s="69">
        <f>T34/T35</f>
        <v>0.99687500000000007</v>
      </c>
    </row>
    <row r="37" spans="1:20" ht="15" thickTop="1"/>
  </sheetData>
  <mergeCells count="25">
    <mergeCell ref="S28:S33"/>
    <mergeCell ref="S20:S22"/>
    <mergeCell ref="A20:A22"/>
    <mergeCell ref="A23:A24"/>
    <mergeCell ref="T23:T24"/>
    <mergeCell ref="A25:A27"/>
    <mergeCell ref="T25:T27"/>
    <mergeCell ref="S23:S24"/>
    <mergeCell ref="S25:S27"/>
    <mergeCell ref="A34:A36"/>
    <mergeCell ref="B34:Q36"/>
    <mergeCell ref="A28:A33"/>
    <mergeCell ref="A2:T2"/>
    <mergeCell ref="A4:A13"/>
    <mergeCell ref="D4:D13"/>
    <mergeCell ref="S4:S13"/>
    <mergeCell ref="T4:T13"/>
    <mergeCell ref="T28:T33"/>
    <mergeCell ref="R34:S34"/>
    <mergeCell ref="R35:S35"/>
    <mergeCell ref="R36:S36"/>
    <mergeCell ref="T20:T22"/>
    <mergeCell ref="A14:A17"/>
    <mergeCell ref="S14:S17"/>
    <mergeCell ref="T14:T17"/>
  </mergeCells>
  <printOptions horizontalCentered="1"/>
  <pageMargins left="0.45" right="0.45" top="0.5" bottom="0.5" header="0.3" footer="0.3"/>
  <pageSetup scale="60" fitToHeight="2"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A59FD-1225-47D8-B154-2342FBDC0FAD}">
  <sheetPr>
    <tabColor theme="0" tint="-0.14999847407452621"/>
    <pageSetUpPr fitToPage="1"/>
  </sheetPr>
  <dimension ref="A1:T23"/>
  <sheetViews>
    <sheetView zoomScale="115" zoomScaleNormal="115" workbookViewId="0">
      <pane xSplit="1" ySplit="3" topLeftCell="B10" activePane="bottomRight" state="frozen"/>
      <selection pane="topRight" activeCell="C1" sqref="C1"/>
      <selection pane="bottomLeft" activeCell="A4" sqref="A4"/>
      <selection pane="bottomRight" activeCell="B14" sqref="B14:T14"/>
    </sheetView>
  </sheetViews>
  <sheetFormatPr defaultColWidth="8.6640625" defaultRowHeight="14.4"/>
  <cols>
    <col min="1" max="1" width="15.6640625" style="5" customWidth="1"/>
    <col min="2" max="2" width="7" style="3" customWidth="1"/>
    <col min="3" max="3" width="26.6640625" customWidth="1"/>
    <col min="4" max="4" width="71.6640625" customWidth="1"/>
    <col min="5" max="5" width="13" customWidth="1"/>
    <col min="6" max="7" width="4.6640625" customWidth="1"/>
    <col min="8" max="16" width="4.33203125" customWidth="1"/>
    <col min="17" max="17" width="9.33203125" customWidth="1"/>
    <col min="18" max="19" width="7.44140625" customWidth="1"/>
    <col min="20" max="20" width="6.6640625" customWidth="1"/>
    <col min="21" max="21" width="85.33203125" customWidth="1"/>
  </cols>
  <sheetData>
    <row r="1" spans="1:20" ht="15" thickBot="1"/>
    <row r="2" spans="1:20" ht="34.799999999999997" thickTop="1" thickBot="1">
      <c r="A2" s="372" t="s">
        <v>74</v>
      </c>
      <c r="B2" s="373"/>
      <c r="C2" s="373"/>
      <c r="D2" s="373"/>
      <c r="E2" s="373"/>
      <c r="F2" s="373"/>
      <c r="G2" s="373"/>
      <c r="H2" s="373"/>
      <c r="I2" s="373"/>
      <c r="J2" s="373"/>
      <c r="K2" s="373"/>
      <c r="L2" s="373"/>
      <c r="M2" s="373"/>
      <c r="N2" s="373"/>
      <c r="O2" s="373"/>
      <c r="P2" s="373"/>
      <c r="Q2" s="373"/>
      <c r="R2" s="373"/>
      <c r="S2" s="373"/>
      <c r="T2" s="374"/>
    </row>
    <row r="3" spans="1:20" ht="48" thickTop="1" thickBot="1">
      <c r="A3" s="136" t="s">
        <v>1</v>
      </c>
      <c r="B3" s="136" t="s">
        <v>35</v>
      </c>
      <c r="C3" s="136" t="s">
        <v>3</v>
      </c>
      <c r="D3" s="136" t="s">
        <v>51</v>
      </c>
      <c r="E3" s="133" t="s">
        <v>5</v>
      </c>
      <c r="F3" s="137" t="s">
        <v>6</v>
      </c>
      <c r="G3" s="137" t="s">
        <v>7</v>
      </c>
      <c r="H3" s="137" t="s">
        <v>8</v>
      </c>
      <c r="I3" s="137" t="s">
        <v>9</v>
      </c>
      <c r="J3" s="137" t="s">
        <v>10</v>
      </c>
      <c r="K3" s="137" t="s">
        <v>11</v>
      </c>
      <c r="L3" s="137" t="s">
        <v>12</v>
      </c>
      <c r="M3" s="137" t="s">
        <v>13</v>
      </c>
      <c r="N3" s="137" t="s">
        <v>14</v>
      </c>
      <c r="O3" s="137" t="s">
        <v>15</v>
      </c>
      <c r="P3" s="137" t="s">
        <v>16</v>
      </c>
      <c r="Q3" s="138" t="s">
        <v>17</v>
      </c>
      <c r="R3" s="133" t="s">
        <v>18</v>
      </c>
      <c r="S3" s="177" t="s">
        <v>42</v>
      </c>
      <c r="T3" s="138" t="s">
        <v>19</v>
      </c>
    </row>
    <row r="4" spans="1:20" ht="31.5" customHeight="1" thickTop="1">
      <c r="A4" s="315" t="s">
        <v>37</v>
      </c>
      <c r="B4" s="198"/>
      <c r="C4" s="152" t="str">
        <f>Data!B11</f>
        <v>Oral Presentation Skill</v>
      </c>
      <c r="D4" s="165" t="str">
        <f>Data!C11</f>
        <v>Clear enunciation when discussing engineering design. All members are participating. Smooth transitions between topics and presenters.</v>
      </c>
      <c r="E4" s="131" t="s">
        <v>22</v>
      </c>
      <c r="F4" s="178"/>
      <c r="G4" s="178"/>
      <c r="H4" s="178"/>
      <c r="I4" s="178"/>
      <c r="J4" s="178"/>
      <c r="K4" s="178"/>
      <c r="L4" s="178"/>
      <c r="M4" s="178"/>
      <c r="N4" s="178"/>
      <c r="O4" s="178"/>
      <c r="P4" s="178"/>
      <c r="Q4" s="154"/>
      <c r="R4" s="28">
        <f t="shared" ref="R4:R13" si="0">IF(E4="x",12,IF(F4="x",11,IF(G4="x",10,IF(H4="x",9,IF(I4="x",8,IF(J4="x",7,IF(K4="x",6,IF(L4="x",5,IF(M4="x",4,IF(N4="x",3,IF(O4="x",2,IF(P4="x",1,IF(Q4="x",0,"")))))))))))))</f>
        <v>12</v>
      </c>
      <c r="S4" s="364">
        <v>1.5</v>
      </c>
      <c r="T4" s="329">
        <f>AVERAGE(R4:R6)*S4</f>
        <v>18</v>
      </c>
    </row>
    <row r="5" spans="1:20" ht="93.6">
      <c r="A5" s="316"/>
      <c r="B5" s="244"/>
      <c r="C5" s="156" t="str">
        <f>Data!B12</f>
        <v>Audio / Visual Quality of Presentation</v>
      </c>
      <c r="D5" s="166" t="str">
        <f>Data!C12</f>
        <v xml:space="preserve">Figures and tables in engineering format, free of spelling and grammatical errors, data presented is well-organized and defined in tabular or graphical form. Annotations are used to describe key points of photos and graphics. All slides are labeled with page numbers and consistent formatting between slides. Audio quality good no background noise or distractions. </v>
      </c>
      <c r="E5" s="130" t="s">
        <v>22</v>
      </c>
      <c r="F5" s="134"/>
      <c r="G5" s="134"/>
      <c r="H5" s="134"/>
      <c r="I5" s="134"/>
      <c r="J5" s="134"/>
      <c r="K5" s="134"/>
      <c r="L5" s="134"/>
      <c r="M5" s="134"/>
      <c r="N5" s="134"/>
      <c r="O5" s="134"/>
      <c r="P5" s="134"/>
      <c r="Q5" s="158"/>
      <c r="R5" s="32">
        <f t="shared" si="0"/>
        <v>12</v>
      </c>
      <c r="S5" s="428"/>
      <c r="T5" s="331"/>
    </row>
    <row r="6" spans="1:20" ht="31.5" customHeight="1" thickBot="1">
      <c r="A6" s="314"/>
      <c r="B6" s="199"/>
      <c r="C6" s="146" t="str">
        <f>Data!B13</f>
        <v>References</v>
      </c>
      <c r="D6" s="147" t="str">
        <f>Data!C13</f>
        <v>References (in-text and bibliography) properly cited in IEEE style. Proper use of the Zotero citation management tool</v>
      </c>
      <c r="E6" s="148" t="s">
        <v>22</v>
      </c>
      <c r="F6" s="149"/>
      <c r="G6" s="149"/>
      <c r="H6" s="149"/>
      <c r="I6" s="149"/>
      <c r="J6" s="149"/>
      <c r="K6" s="149"/>
      <c r="L6" s="149"/>
      <c r="M6" s="149"/>
      <c r="N6" s="149"/>
      <c r="O6" s="149"/>
      <c r="P6" s="149"/>
      <c r="Q6" s="150"/>
      <c r="R6" s="29">
        <f t="shared" si="0"/>
        <v>12</v>
      </c>
      <c r="S6" s="429"/>
      <c r="T6" s="330"/>
    </row>
    <row r="7" spans="1:20" ht="31.5" customHeight="1" thickTop="1" thickBot="1">
      <c r="A7" s="136" t="s">
        <v>20</v>
      </c>
      <c r="B7" s="388"/>
      <c r="C7" s="346"/>
      <c r="D7" s="346"/>
      <c r="E7" s="346"/>
      <c r="F7" s="346"/>
      <c r="G7" s="346"/>
      <c r="H7" s="346"/>
      <c r="I7" s="346"/>
      <c r="J7" s="346"/>
      <c r="K7" s="346"/>
      <c r="L7" s="346"/>
      <c r="M7" s="346"/>
      <c r="N7" s="346"/>
      <c r="O7" s="346"/>
      <c r="P7" s="346"/>
      <c r="Q7" s="346"/>
      <c r="R7" s="346"/>
      <c r="S7" s="346"/>
      <c r="T7" s="430"/>
    </row>
    <row r="8" spans="1:20" ht="31.5" customHeight="1" thickTop="1">
      <c r="A8" s="315" t="s">
        <v>23</v>
      </c>
      <c r="B8" s="78">
        <f>Data!A23</f>
        <v>1.1000000000000001</v>
      </c>
      <c r="C8" s="80" t="str">
        <f>Data!B23</f>
        <v>Problem Description</v>
      </c>
      <c r="D8" s="82" t="str">
        <f>Data!C23</f>
        <v>Includes context to the problem, reason for the problem, need for this project, defines who is impacted by the problem (customer / market) and how.</v>
      </c>
      <c r="E8" s="131" t="s">
        <v>22</v>
      </c>
      <c r="F8" s="178"/>
      <c r="G8" s="178"/>
      <c r="H8" s="178"/>
      <c r="I8" s="178"/>
      <c r="J8" s="178"/>
      <c r="K8" s="178"/>
      <c r="L8" s="178"/>
      <c r="M8" s="178"/>
      <c r="N8" s="178"/>
      <c r="O8" s="178"/>
      <c r="P8" s="178"/>
      <c r="Q8" s="154"/>
      <c r="R8" s="28">
        <f t="shared" si="0"/>
        <v>12</v>
      </c>
      <c r="S8" s="364">
        <v>1.5</v>
      </c>
      <c r="T8" s="329">
        <f>AVERAGE(R8:R10)*S8</f>
        <v>18</v>
      </c>
    </row>
    <row r="9" spans="1:20" ht="46.8">
      <c r="A9" s="316"/>
      <c r="B9" s="79">
        <f>Data!A24</f>
        <v>1.2</v>
      </c>
      <c r="C9" s="81" t="str">
        <f>Data!B24</f>
        <v>Problem Statement</v>
      </c>
      <c r="D9" s="83" t="str">
        <f>Data!C24</f>
        <v>Describes the problem in technical detail and Quantifies the impact on the customer/market. Introduce critical performance metrics. Defines the end-user population (e.g., person, environment, or organization).</v>
      </c>
      <c r="E9" s="130" t="s">
        <v>22</v>
      </c>
      <c r="F9" s="134"/>
      <c r="G9" s="134"/>
      <c r="H9" s="134"/>
      <c r="I9" s="134"/>
      <c r="J9" s="134"/>
      <c r="K9" s="134"/>
      <c r="L9" s="134"/>
      <c r="M9" s="134"/>
      <c r="N9" s="134"/>
      <c r="O9" s="134"/>
      <c r="P9" s="134"/>
      <c r="Q9" s="158"/>
      <c r="R9" s="32">
        <f t="shared" si="0"/>
        <v>12</v>
      </c>
      <c r="S9" s="428"/>
      <c r="T9" s="331"/>
    </row>
    <row r="10" spans="1:20" ht="47.4" thickBot="1">
      <c r="A10" s="314"/>
      <c r="B10" s="119">
        <f>Data!A25</f>
        <v>1.3</v>
      </c>
      <c r="C10" s="120" t="str">
        <f>Data!B25</f>
        <v>Scope of Work</v>
      </c>
      <c r="D10" s="75" t="str">
        <f>Data!C25</f>
        <v xml:space="preserve">Describes the approach to solve this problem, the projected timeline plan, and the assumptions, limitations, and constraints of the project.  Describes the services and/or materials to be obtained from the client.  </v>
      </c>
      <c r="E10" s="148" t="s">
        <v>22</v>
      </c>
      <c r="F10" s="149"/>
      <c r="G10" s="149"/>
      <c r="H10" s="149"/>
      <c r="I10" s="149"/>
      <c r="J10" s="149"/>
      <c r="K10" s="149"/>
      <c r="L10" s="149"/>
      <c r="M10" s="149"/>
      <c r="N10" s="149"/>
      <c r="O10" s="149"/>
      <c r="P10" s="149"/>
      <c r="Q10" s="150"/>
      <c r="R10" s="29">
        <f t="shared" si="0"/>
        <v>12</v>
      </c>
      <c r="S10" s="429"/>
      <c r="T10" s="330"/>
    </row>
    <row r="11" spans="1:20" ht="31.5" customHeight="1" thickTop="1" thickBot="1">
      <c r="A11" s="136" t="s">
        <v>20</v>
      </c>
      <c r="B11" s="388"/>
      <c r="C11" s="346"/>
      <c r="D11" s="346"/>
      <c r="E11" s="346"/>
      <c r="F11" s="346"/>
      <c r="G11" s="346"/>
      <c r="H11" s="346"/>
      <c r="I11" s="346"/>
      <c r="J11" s="346"/>
      <c r="K11" s="346"/>
      <c r="L11" s="346"/>
      <c r="M11" s="346"/>
      <c r="N11" s="346"/>
      <c r="O11" s="346"/>
      <c r="P11" s="346"/>
      <c r="Q11" s="346"/>
      <c r="R11" s="346"/>
      <c r="S11" s="346"/>
      <c r="T11" s="430"/>
    </row>
    <row r="12" spans="1:20" ht="63" thickTop="1">
      <c r="A12" s="315" t="s">
        <v>38</v>
      </c>
      <c r="B12" s="198"/>
      <c r="C12" s="80" t="str">
        <f>Data!B21</f>
        <v>Design Evolution</v>
      </c>
      <c r="D12" s="82" t="str">
        <f>Data!C21</f>
        <v>Presents the evolution of your design by illustrating the developments made throughout the exploratory/conceptual/down-selection design phases. Points out the strengths and weaknesses of each design. Provides evidence to validate the concept selection.</v>
      </c>
      <c r="E12" s="131" t="s">
        <v>22</v>
      </c>
      <c r="F12" s="178"/>
      <c r="G12" s="178"/>
      <c r="H12" s="178"/>
      <c r="I12" s="178"/>
      <c r="J12" s="178"/>
      <c r="K12" s="178"/>
      <c r="L12" s="178"/>
      <c r="M12" s="178"/>
      <c r="N12" s="178"/>
      <c r="O12" s="178"/>
      <c r="P12" s="178"/>
      <c r="Q12" s="154"/>
      <c r="R12" s="28">
        <f t="shared" si="0"/>
        <v>12</v>
      </c>
      <c r="S12" s="364">
        <v>1.5</v>
      </c>
      <c r="T12" s="329">
        <f>AVERAGE(R12:R13)*S12</f>
        <v>18</v>
      </c>
    </row>
    <row r="13" spans="1:20" ht="31.8" thickBot="1">
      <c r="A13" s="314"/>
      <c r="B13" s="199">
        <f>Data!A41</f>
        <v>5.4</v>
      </c>
      <c r="C13" s="191" t="str">
        <f>Data!B41</f>
        <v xml:space="preserve">Final Design Description </v>
      </c>
      <c r="D13" s="147" t="str">
        <f>Data!C41</f>
        <v xml:space="preserve">Describes all aspects of the final design and how it meets the client's requirements. </v>
      </c>
      <c r="E13" s="148" t="s">
        <v>22</v>
      </c>
      <c r="F13" s="149"/>
      <c r="G13" s="149"/>
      <c r="H13" s="149"/>
      <c r="I13" s="149"/>
      <c r="J13" s="149"/>
      <c r="K13" s="149"/>
      <c r="L13" s="149"/>
      <c r="M13" s="149"/>
      <c r="N13" s="149"/>
      <c r="O13" s="149"/>
      <c r="P13" s="149"/>
      <c r="Q13" s="150"/>
      <c r="R13" s="29">
        <f t="shared" si="0"/>
        <v>12</v>
      </c>
      <c r="S13" s="429"/>
      <c r="T13" s="330"/>
    </row>
    <row r="14" spans="1:20" ht="31.5" customHeight="1" thickTop="1" thickBot="1">
      <c r="A14" s="136" t="s">
        <v>20</v>
      </c>
      <c r="B14" s="388"/>
      <c r="C14" s="346"/>
      <c r="D14" s="346"/>
      <c r="E14" s="349"/>
      <c r="F14" s="349"/>
      <c r="G14" s="349"/>
      <c r="H14" s="349"/>
      <c r="I14" s="349"/>
      <c r="J14" s="349"/>
      <c r="K14" s="349"/>
      <c r="L14" s="349"/>
      <c r="M14" s="349"/>
      <c r="N14" s="349"/>
      <c r="O14" s="349"/>
      <c r="P14" s="349"/>
      <c r="Q14" s="349"/>
      <c r="R14" s="349"/>
      <c r="S14" s="349"/>
      <c r="T14" s="450"/>
    </row>
    <row r="15" spans="1:20" ht="63" thickTop="1">
      <c r="A15" s="315" t="s">
        <v>75</v>
      </c>
      <c r="B15" s="198"/>
      <c r="C15" s="152" t="str">
        <f>Data!B16</f>
        <v>Comparison of results</v>
      </c>
      <c r="D15" s="267" t="str">
        <f>Data!C16</f>
        <v xml:space="preserve">Compare your experimental results to the theory. Describe the mathematical model(s) used to predict product performance (e.g., FEA, Electrical simulations, Mechanical analysis). Describe the experiments and measurements that support the design methodology. </v>
      </c>
      <c r="E15" s="131" t="s">
        <v>22</v>
      </c>
      <c r="F15" s="178"/>
      <c r="G15" s="178"/>
      <c r="H15" s="178"/>
      <c r="I15" s="178"/>
      <c r="J15" s="178"/>
      <c r="K15" s="178"/>
      <c r="L15" s="178"/>
      <c r="M15" s="178"/>
      <c r="N15" s="178"/>
      <c r="O15" s="178"/>
      <c r="P15" s="178"/>
      <c r="Q15" s="154"/>
      <c r="R15" s="28">
        <f t="shared" ref="R15:R19" si="1">IF(E15="x",12,IF(F15="x",11,IF(G15="x",10,IF(H15="x",9,IF(I15="x",8,IF(J15="x",7,IF(K15="x",6,IF(L15="x",5,IF(M15="x",4,IF(N15="x",3,IF(O15="x",2,IF(P15="x",1,IF(Q15="x",0,"")))))))))))))</f>
        <v>12</v>
      </c>
      <c r="S15" s="364">
        <v>1.5</v>
      </c>
      <c r="T15" s="329">
        <f>AVERAGE(R15:R17)*S15</f>
        <v>18</v>
      </c>
    </row>
    <row r="16" spans="1:20" ht="46.8">
      <c r="A16" s="316"/>
      <c r="B16" s="244">
        <f>Data!A70</f>
        <v>11.2</v>
      </c>
      <c r="C16" s="189" t="str">
        <f>Data!B70</f>
        <v>Lessons Learned</v>
      </c>
      <c r="D16" s="268" t="str">
        <f>Data!C70</f>
        <v>List most important lessons learned by sharing experiences of how new and improved techniques or processes were developed and how they were instrumental in achieving your design requirements.</v>
      </c>
      <c r="E16" s="130" t="s">
        <v>29</v>
      </c>
      <c r="F16" s="134"/>
      <c r="G16" s="134"/>
      <c r="H16" s="134"/>
      <c r="I16" s="134"/>
      <c r="J16" s="134"/>
      <c r="K16" s="134"/>
      <c r="L16" s="134"/>
      <c r="M16" s="134"/>
      <c r="N16" s="134"/>
      <c r="O16" s="134"/>
      <c r="P16" s="134"/>
      <c r="Q16" s="158"/>
      <c r="R16" s="32">
        <f t="shared" si="1"/>
        <v>12</v>
      </c>
      <c r="S16" s="428"/>
      <c r="T16" s="331"/>
    </row>
    <row r="17" spans="1:20" ht="47.4" thickBot="1">
      <c r="A17" s="332"/>
      <c r="B17" s="269">
        <f>Data!A71</f>
        <v>11.3</v>
      </c>
      <c r="C17" s="195" t="str">
        <f>Data!B71</f>
        <v>Recommendations</v>
      </c>
      <c r="D17" s="270" t="str">
        <f>Data!C71</f>
        <v>Describe all team recommendations with enough detail to best direct your client to initiate future action within their company. Create a  table or bullet list summarizing the details of each recommendation.</v>
      </c>
      <c r="E17" s="148" t="s">
        <v>29</v>
      </c>
      <c r="F17" s="149"/>
      <c r="G17" s="149"/>
      <c r="H17" s="149"/>
      <c r="I17" s="149"/>
      <c r="J17" s="149"/>
      <c r="K17" s="149"/>
      <c r="L17" s="149"/>
      <c r="M17" s="149"/>
      <c r="N17" s="149"/>
      <c r="O17" s="149"/>
      <c r="P17" s="149"/>
      <c r="Q17" s="150"/>
      <c r="R17" s="29">
        <f t="shared" si="1"/>
        <v>12</v>
      </c>
      <c r="S17" s="429"/>
      <c r="T17" s="330"/>
    </row>
    <row r="18" spans="1:20" ht="31.5" customHeight="1" thickTop="1" thickBot="1">
      <c r="A18" s="136" t="s">
        <v>20</v>
      </c>
      <c r="B18" s="388"/>
      <c r="C18" s="346"/>
      <c r="D18" s="346"/>
      <c r="E18" s="346"/>
      <c r="F18" s="346"/>
      <c r="G18" s="346"/>
      <c r="H18" s="346"/>
      <c r="I18" s="346"/>
      <c r="J18" s="346"/>
      <c r="K18" s="346"/>
      <c r="L18" s="346"/>
      <c r="M18" s="346"/>
      <c r="N18" s="346"/>
      <c r="O18" s="346"/>
      <c r="P18" s="346"/>
      <c r="Q18" s="346"/>
      <c r="R18" s="346"/>
      <c r="S18" s="346"/>
      <c r="T18" s="430"/>
    </row>
    <row r="19" spans="1:20" ht="16.8" thickTop="1" thickBot="1">
      <c r="A19" s="136" t="s">
        <v>61</v>
      </c>
      <c r="B19" s="167"/>
      <c r="C19" s="245" t="str">
        <f>Data!B14</f>
        <v>Demo Video</v>
      </c>
      <c r="D19" s="245" t="str">
        <f>Data!C14</f>
        <v>Video uploaded into the proper location(s)</v>
      </c>
      <c r="E19" s="111" t="s">
        <v>22</v>
      </c>
      <c r="F19" s="177"/>
      <c r="G19" s="137"/>
      <c r="H19" s="137"/>
      <c r="I19" s="137"/>
      <c r="J19" s="137"/>
      <c r="K19" s="137"/>
      <c r="L19" s="137"/>
      <c r="M19" s="137"/>
      <c r="N19" s="137"/>
      <c r="O19" s="137"/>
      <c r="P19" s="137"/>
      <c r="Q19" s="246"/>
      <c r="R19" s="45">
        <f t="shared" si="1"/>
        <v>12</v>
      </c>
      <c r="S19" s="64">
        <v>2</v>
      </c>
      <c r="T19" s="247">
        <f>AVERAGE(R19:R19)*S19</f>
        <v>24</v>
      </c>
    </row>
    <row r="20" spans="1:20" ht="16.2" thickTop="1">
      <c r="A20" s="315" t="s">
        <v>20</v>
      </c>
      <c r="B20" s="437"/>
      <c r="C20" s="321"/>
      <c r="D20" s="321"/>
      <c r="E20" s="321"/>
      <c r="F20" s="321"/>
      <c r="G20" s="321"/>
      <c r="H20" s="321"/>
      <c r="I20" s="321"/>
      <c r="J20" s="321"/>
      <c r="K20" s="321"/>
      <c r="L20" s="321"/>
      <c r="M20" s="321"/>
      <c r="N20" s="321"/>
      <c r="O20" s="321"/>
      <c r="P20" s="321"/>
      <c r="Q20" s="322"/>
      <c r="R20" s="366" t="s">
        <v>30</v>
      </c>
      <c r="S20" s="367"/>
      <c r="T20" s="67">
        <f>SUM(T4:T19)</f>
        <v>96</v>
      </c>
    </row>
    <row r="21" spans="1:20" ht="15.6">
      <c r="A21" s="318"/>
      <c r="B21" s="323"/>
      <c r="C21" s="324"/>
      <c r="D21" s="324"/>
      <c r="E21" s="324"/>
      <c r="F21" s="324"/>
      <c r="G21" s="324"/>
      <c r="H21" s="324"/>
      <c r="I21" s="324"/>
      <c r="J21" s="324"/>
      <c r="K21" s="324"/>
      <c r="L21" s="324"/>
      <c r="M21" s="324"/>
      <c r="N21" s="324"/>
      <c r="O21" s="324"/>
      <c r="P21" s="324"/>
      <c r="Q21" s="325"/>
      <c r="R21" s="368" t="s">
        <v>31</v>
      </c>
      <c r="S21" s="369"/>
      <c r="T21" s="68">
        <v>96</v>
      </c>
    </row>
    <row r="22" spans="1:20" ht="16.2" thickBot="1">
      <c r="A22" s="319"/>
      <c r="B22" s="326"/>
      <c r="C22" s="327"/>
      <c r="D22" s="327"/>
      <c r="E22" s="327"/>
      <c r="F22" s="327"/>
      <c r="G22" s="327"/>
      <c r="H22" s="327"/>
      <c r="I22" s="327"/>
      <c r="J22" s="327"/>
      <c r="K22" s="327"/>
      <c r="L22" s="327"/>
      <c r="M22" s="327"/>
      <c r="N22" s="327"/>
      <c r="O22" s="327"/>
      <c r="P22" s="327"/>
      <c r="Q22" s="328"/>
      <c r="R22" s="370" t="s">
        <v>32</v>
      </c>
      <c r="S22" s="371"/>
      <c r="T22" s="69">
        <f>T20/T21</f>
        <v>1</v>
      </c>
    </row>
    <row r="23" spans="1:20" ht="15" thickTop="1"/>
  </sheetData>
  <mergeCells count="22">
    <mergeCell ref="B11:T11"/>
    <mergeCell ref="R22:S22"/>
    <mergeCell ref="A15:A17"/>
    <mergeCell ref="T15:T17"/>
    <mergeCell ref="S15:S17"/>
    <mergeCell ref="R20:S20"/>
    <mergeCell ref="R21:S21"/>
    <mergeCell ref="B14:T14"/>
    <mergeCell ref="B18:T18"/>
    <mergeCell ref="A20:A22"/>
    <mergeCell ref="B20:Q22"/>
    <mergeCell ref="A12:A13"/>
    <mergeCell ref="T12:T13"/>
    <mergeCell ref="S12:S13"/>
    <mergeCell ref="A2:T2"/>
    <mergeCell ref="A4:A6"/>
    <mergeCell ref="T4:T6"/>
    <mergeCell ref="A8:A10"/>
    <mergeCell ref="T8:T10"/>
    <mergeCell ref="S4:S6"/>
    <mergeCell ref="S8:S10"/>
    <mergeCell ref="B7:T7"/>
  </mergeCells>
  <printOptions horizontalCentered="1"/>
  <pageMargins left="0.45" right="0.45" top="0.5" bottom="0.5" header="0.3" footer="0.3"/>
  <pageSetup scale="60" fitToHeight="2"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FD7D8-EB81-44F8-8B6B-342DC16AE47C}">
  <sheetPr>
    <tabColor theme="3" tint="0.39997558519241921"/>
    <pageSetUpPr fitToPage="1"/>
  </sheetPr>
  <dimension ref="A1:Y32"/>
  <sheetViews>
    <sheetView zoomScaleNormal="100" workbookViewId="0">
      <pane xSplit="1" ySplit="3" topLeftCell="B20" activePane="bottomRight" state="frozen"/>
      <selection pane="topRight" activeCell="C1" sqref="C1"/>
      <selection pane="bottomLeft" activeCell="A4" sqref="A4"/>
      <selection pane="bottomRight" activeCell="A16" sqref="A16:A18"/>
    </sheetView>
  </sheetViews>
  <sheetFormatPr defaultColWidth="8.6640625" defaultRowHeight="14.4"/>
  <cols>
    <col min="1" max="1" width="15.6640625" style="5" customWidth="1"/>
    <col min="2" max="2" width="7.6640625" style="3" customWidth="1"/>
    <col min="3" max="3" width="26.6640625" customWidth="1"/>
    <col min="4" max="4" width="71.6640625" customWidth="1"/>
    <col min="5" max="5" width="13" customWidth="1"/>
    <col min="6" max="7" width="4.6640625" customWidth="1"/>
    <col min="8" max="16" width="4.33203125" customWidth="1"/>
    <col min="17" max="17" width="9.33203125" customWidth="1"/>
    <col min="18" max="18" width="6.6640625" customWidth="1"/>
    <col min="19" max="19" width="8.44140625" customWidth="1"/>
    <col min="20" max="20" width="6.6640625" customWidth="1"/>
  </cols>
  <sheetData>
    <row r="1" spans="1:20" ht="15" thickBot="1"/>
    <row r="2" spans="1:20" ht="34.799999999999997" thickTop="1" thickBot="1">
      <c r="A2" s="372" t="s">
        <v>76</v>
      </c>
      <c r="B2" s="373"/>
      <c r="C2" s="373"/>
      <c r="D2" s="373"/>
      <c r="E2" s="373"/>
      <c r="F2" s="373"/>
      <c r="G2" s="373"/>
      <c r="H2" s="373"/>
      <c r="I2" s="373"/>
      <c r="J2" s="373"/>
      <c r="K2" s="373"/>
      <c r="L2" s="373"/>
      <c r="M2" s="373"/>
      <c r="N2" s="373"/>
      <c r="O2" s="373"/>
      <c r="P2" s="373"/>
      <c r="Q2" s="373"/>
      <c r="R2" s="373"/>
      <c r="S2" s="373"/>
      <c r="T2" s="374"/>
    </row>
    <row r="3" spans="1:20" ht="48" thickTop="1" thickBot="1">
      <c r="A3" s="136" t="s">
        <v>1</v>
      </c>
      <c r="B3" s="136" t="s">
        <v>35</v>
      </c>
      <c r="C3" s="136" t="s">
        <v>3</v>
      </c>
      <c r="D3" s="136" t="s">
        <v>51</v>
      </c>
      <c r="E3" s="133" t="s">
        <v>5</v>
      </c>
      <c r="F3" s="137" t="s">
        <v>6</v>
      </c>
      <c r="G3" s="137" t="s">
        <v>7</v>
      </c>
      <c r="H3" s="137" t="s">
        <v>8</v>
      </c>
      <c r="I3" s="137" t="s">
        <v>9</v>
      </c>
      <c r="J3" s="137" t="s">
        <v>10</v>
      </c>
      <c r="K3" s="137" t="s">
        <v>11</v>
      </c>
      <c r="L3" s="137" t="s">
        <v>12</v>
      </c>
      <c r="M3" s="137" t="s">
        <v>13</v>
      </c>
      <c r="N3" s="137" t="s">
        <v>14</v>
      </c>
      <c r="O3" s="137" t="s">
        <v>15</v>
      </c>
      <c r="P3" s="137" t="s">
        <v>16</v>
      </c>
      <c r="Q3" s="177" t="s">
        <v>17</v>
      </c>
      <c r="R3" s="138" t="s">
        <v>18</v>
      </c>
      <c r="S3" s="133" t="s">
        <v>42</v>
      </c>
      <c r="T3" s="138" t="s">
        <v>19</v>
      </c>
    </row>
    <row r="4" spans="1:20" ht="16.2" thickTop="1">
      <c r="A4" s="315" t="s">
        <v>43</v>
      </c>
      <c r="B4" s="151" t="str">
        <f>Data!A6</f>
        <v>ii</v>
      </c>
      <c r="C4" s="152" t="str">
        <f>Data!B6</f>
        <v>Executive Summary</v>
      </c>
      <c r="D4" s="445" t="s">
        <v>77</v>
      </c>
      <c r="E4" s="131" t="s">
        <v>22</v>
      </c>
      <c r="F4" s="178"/>
      <c r="G4" s="178"/>
      <c r="H4" s="178"/>
      <c r="I4" s="178"/>
      <c r="J4" s="178"/>
      <c r="K4" s="178"/>
      <c r="L4" s="178"/>
      <c r="M4" s="178"/>
      <c r="N4" s="178"/>
      <c r="O4" s="178"/>
      <c r="P4" s="178"/>
      <c r="Q4" s="153"/>
      <c r="R4" s="51">
        <f>IF(E4="x",12,IF(F4="x",11,IF(G4="x",10,IF(H4="x",9,IF(I4="x",8,IF(J4="x",7,IF(K4="x",6,IF(L4="x",5,IF(M4="x",4,IF(N4="x",3,IF(O4="x",2,IF(P4="x",1,IF(Q4="x",0,"")))))))))))))</f>
        <v>12</v>
      </c>
      <c r="S4" s="451">
        <v>1</v>
      </c>
      <c r="T4" s="329">
        <f>AVERAGE(R4:R6)*S4</f>
        <v>12</v>
      </c>
    </row>
    <row r="5" spans="1:20" ht="31.2">
      <c r="A5" s="316"/>
      <c r="B5" s="155">
        <f>Data!A56</f>
        <v>8.3000000000000007</v>
      </c>
      <c r="C5" s="156" t="str">
        <f>Data!B56</f>
        <v>As Built / Implemented Documentation</v>
      </c>
      <c r="D5" s="446"/>
      <c r="E5" s="130" t="s">
        <v>22</v>
      </c>
      <c r="F5" s="134"/>
      <c r="G5" s="134"/>
      <c r="H5" s="134"/>
      <c r="I5" s="134"/>
      <c r="J5" s="134"/>
      <c r="K5" s="134"/>
      <c r="L5" s="134"/>
      <c r="M5" s="134"/>
      <c r="N5" s="134"/>
      <c r="O5" s="134"/>
      <c r="P5" s="134"/>
      <c r="Q5" s="157"/>
      <c r="R5" s="52">
        <f t="shared" ref="R5:R28" si="0">IF(E5="x",12,IF(F5="x",11,IF(G5="x",10,IF(H5="x",9,IF(I5="x",8,IF(J5="x",7,IF(K5="x",6,IF(L5="x",5,IF(M5="x",4,IF(N5="x",3,IF(O5="x",2,IF(P5="x",1,IF(Q5="x",0,"")))))))))))))</f>
        <v>12</v>
      </c>
      <c r="S5" s="452"/>
      <c r="T5" s="331"/>
    </row>
    <row r="6" spans="1:20" ht="31.8" thickBot="1">
      <c r="A6" s="314"/>
      <c r="B6" s="145">
        <f>Data!A67</f>
        <v>10.3</v>
      </c>
      <c r="C6" s="146" t="str">
        <f>Data!B67</f>
        <v>MS Teams File Documentation</v>
      </c>
      <c r="D6" s="447"/>
      <c r="E6" s="148" t="s">
        <v>22</v>
      </c>
      <c r="F6" s="149"/>
      <c r="G6" s="149"/>
      <c r="H6" s="149"/>
      <c r="I6" s="149"/>
      <c r="J6" s="149"/>
      <c r="K6" s="149"/>
      <c r="L6" s="149"/>
      <c r="M6" s="149"/>
      <c r="N6" s="149"/>
      <c r="O6" s="149"/>
      <c r="P6" s="149"/>
      <c r="Q6" s="159"/>
      <c r="R6" s="54">
        <f t="shared" si="0"/>
        <v>12</v>
      </c>
      <c r="S6" s="453"/>
      <c r="T6" s="330"/>
    </row>
    <row r="7" spans="1:20" ht="63" thickTop="1">
      <c r="A7" s="315" t="s">
        <v>66</v>
      </c>
      <c r="B7" s="198">
        <f>Data!A46</f>
        <v>6.1</v>
      </c>
      <c r="C7" s="152" t="str">
        <f>Data!B46</f>
        <v>Mechanical Design</v>
      </c>
      <c r="D7" s="165" t="str">
        <f>Data!C46</f>
        <v>Provides a mechanical description for the project design with sufficient detail for fabrication/manufacturing/assembly. The descriptions include tolerances, part numbering, and material specifications. Provides a manufacturing plan for each part.</v>
      </c>
      <c r="E7" s="131" t="s">
        <v>22</v>
      </c>
      <c r="F7" s="178"/>
      <c r="G7" s="178"/>
      <c r="H7" s="178"/>
      <c r="I7" s="178"/>
      <c r="J7" s="178"/>
      <c r="K7" s="178"/>
      <c r="L7" s="178"/>
      <c r="M7" s="178"/>
      <c r="N7" s="178"/>
      <c r="O7" s="178"/>
      <c r="P7" s="178"/>
      <c r="Q7" s="153"/>
      <c r="R7" s="51">
        <f t="shared" si="0"/>
        <v>12</v>
      </c>
      <c r="S7" s="451">
        <v>1</v>
      </c>
      <c r="T7" s="329">
        <f>AVERAGE(R7:R10)*S7</f>
        <v>12</v>
      </c>
    </row>
    <row r="8" spans="1:20" ht="78">
      <c r="A8" s="316"/>
      <c r="B8" s="244">
        <f>Data!A47</f>
        <v>6.2</v>
      </c>
      <c r="C8" s="156" t="str">
        <f>Data!B47</f>
        <v>Electrical Design</v>
      </c>
      <c r="D8" s="166" t="str">
        <f>Data!C47</f>
        <v>Provides an electrical description for the project design with sufficient detail for fabrication/manufacturing/assembly. Provides complete circuit diagrams. Evaluates the results of circuit breadboards. Provides complete wiring diagrams including cables and connectors. Provides a PC board layout ready for production including mounting points.</v>
      </c>
      <c r="E8" s="130" t="s">
        <v>22</v>
      </c>
      <c r="F8" s="134"/>
      <c r="G8" s="134"/>
      <c r="H8" s="134"/>
      <c r="I8" s="134"/>
      <c r="J8" s="134"/>
      <c r="K8" s="134"/>
      <c r="L8" s="134"/>
      <c r="M8" s="134"/>
      <c r="N8" s="134"/>
      <c r="O8" s="134"/>
      <c r="P8" s="134"/>
      <c r="Q8" s="157"/>
      <c r="R8" s="52">
        <f t="shared" si="0"/>
        <v>12</v>
      </c>
      <c r="S8" s="452"/>
      <c r="T8" s="331"/>
    </row>
    <row r="9" spans="1:20" ht="46.8">
      <c r="A9" s="316"/>
      <c r="B9" s="244">
        <f>Data!A48</f>
        <v>6.3</v>
      </c>
      <c r="C9" s="156" t="str">
        <f>Data!B48</f>
        <v>Software &amp; Programming</v>
      </c>
      <c r="D9" s="166" t="str">
        <f>Data!C48</f>
        <v>Provides a description of the software for the project with sufficient detail for reproducibility and troubleshooting. Includes complete flow diagrams including links and operating interfaces.</v>
      </c>
      <c r="E9" s="130" t="s">
        <v>22</v>
      </c>
      <c r="F9" s="134"/>
      <c r="G9" s="134"/>
      <c r="H9" s="134"/>
      <c r="I9" s="134"/>
      <c r="J9" s="134"/>
      <c r="K9" s="134"/>
      <c r="L9" s="134"/>
      <c r="M9" s="134"/>
      <c r="N9" s="134"/>
      <c r="O9" s="134"/>
      <c r="P9" s="134"/>
      <c r="Q9" s="157"/>
      <c r="R9" s="52">
        <f t="shared" si="0"/>
        <v>12</v>
      </c>
      <c r="S9" s="452"/>
      <c r="T9" s="331"/>
    </row>
    <row r="10" spans="1:20" ht="31.8" thickBot="1">
      <c r="A10" s="314"/>
      <c r="B10" s="199">
        <f>Data!A49</f>
        <v>6.4</v>
      </c>
      <c r="C10" s="146" t="str">
        <f>Data!B49</f>
        <v>Technical Data Sheets</v>
      </c>
      <c r="D10" s="147" t="str">
        <f>Data!C49</f>
        <v xml:space="preserve">Introduce the equipment and purpose of use, and reference data sheet in Appendix. </v>
      </c>
      <c r="E10" s="148" t="s">
        <v>22</v>
      </c>
      <c r="F10" s="149"/>
      <c r="G10" s="149"/>
      <c r="H10" s="149"/>
      <c r="I10" s="149"/>
      <c r="J10" s="149"/>
      <c r="K10" s="149"/>
      <c r="L10" s="149"/>
      <c r="M10" s="149"/>
      <c r="N10" s="149"/>
      <c r="O10" s="149"/>
      <c r="P10" s="149"/>
      <c r="Q10" s="159"/>
      <c r="R10" s="54">
        <f t="shared" si="0"/>
        <v>12</v>
      </c>
      <c r="S10" s="453"/>
      <c r="T10" s="330"/>
    </row>
    <row r="11" spans="1:20" ht="94.2" thickTop="1">
      <c r="A11" s="315" t="s">
        <v>73</v>
      </c>
      <c r="B11" s="151">
        <f>Data!A61</f>
        <v>9.1</v>
      </c>
      <c r="C11" s="152" t="str">
        <f>Data!B61</f>
        <v>Test Plan &amp; Testing Phase</v>
      </c>
      <c r="D11" s="165" t="str">
        <f>Data!C61</f>
        <v>Well defined test plan appropriate to the expected level of testing. Testing requirements and test sequences developed and data recording methods identified.  All test equipment and sensor needs have been identified and ordered. Clearly defined plan in place for the type of data analysis method(s) to be used. Test location Identified and outside resources identified and ready to support testing as needed.</v>
      </c>
      <c r="E11" s="131" t="s">
        <v>22</v>
      </c>
      <c r="F11" s="178"/>
      <c r="G11" s="178"/>
      <c r="H11" s="178"/>
      <c r="I11" s="178"/>
      <c r="J11" s="178"/>
      <c r="K11" s="178"/>
      <c r="L11" s="178"/>
      <c r="M11" s="178"/>
      <c r="N11" s="178"/>
      <c r="O11" s="178"/>
      <c r="P11" s="178"/>
      <c r="Q11" s="153"/>
      <c r="R11" s="51">
        <f t="shared" si="0"/>
        <v>12</v>
      </c>
      <c r="S11" s="451">
        <v>1</v>
      </c>
      <c r="T11" s="329">
        <f>AVERAGE(R11:R13)*S11</f>
        <v>12</v>
      </c>
    </row>
    <row r="12" spans="1:20" ht="31.2">
      <c r="A12" s="316"/>
      <c r="B12" s="155">
        <f>Data!A62</f>
        <v>9.1999999999999993</v>
      </c>
      <c r="C12" s="156" t="str">
        <f>Data!B62</f>
        <v>Test Results and Data Analysis</v>
      </c>
      <c r="D12" s="166" t="str">
        <f>Data!C62</f>
        <v>Captured test data properly documented  and organized.  Analysis of test data clearly justifies the final conclusions of the test efforts.</v>
      </c>
      <c r="E12" s="130" t="s">
        <v>22</v>
      </c>
      <c r="F12" s="134"/>
      <c r="G12" s="134"/>
      <c r="H12" s="134"/>
      <c r="I12" s="134"/>
      <c r="J12" s="134"/>
      <c r="K12" s="134"/>
      <c r="L12" s="134"/>
      <c r="M12" s="134"/>
      <c r="N12" s="134"/>
      <c r="O12" s="134"/>
      <c r="P12" s="134"/>
      <c r="Q12" s="157"/>
      <c r="R12" s="52">
        <f t="shared" si="0"/>
        <v>12</v>
      </c>
      <c r="S12" s="452"/>
      <c r="T12" s="331"/>
    </row>
    <row r="13" spans="1:20" ht="78.599999999999994" thickBot="1">
      <c r="A13" s="314"/>
      <c r="B13" s="145">
        <f>Data!A63</f>
        <v>9.3000000000000007</v>
      </c>
      <c r="C13" s="146" t="str">
        <f>Data!B63</f>
        <v>Corrective Action Plan (if needed)</v>
      </c>
      <c r="D13" s="147" t="str">
        <f>Data!C63</f>
        <v>If a product performance deficiency is found during test data analysis, create a detailed Corrective Action Plan that describes each deficiency found and how it will impact meeting the client requirements,  deliverables, and your project schedule. This action plan should be thoroughly reviewed and approved by the client.</v>
      </c>
      <c r="E13" s="148" t="s">
        <v>22</v>
      </c>
      <c r="F13" s="149"/>
      <c r="G13" s="149"/>
      <c r="H13" s="149"/>
      <c r="I13" s="149"/>
      <c r="J13" s="149"/>
      <c r="K13" s="149"/>
      <c r="L13" s="149"/>
      <c r="M13" s="149"/>
      <c r="N13" s="149"/>
      <c r="O13" s="149"/>
      <c r="P13" s="149"/>
      <c r="Q13" s="159"/>
      <c r="R13" s="54">
        <f t="shared" si="0"/>
        <v>12</v>
      </c>
      <c r="S13" s="453"/>
      <c r="T13" s="330"/>
    </row>
    <row r="14" spans="1:20" ht="78.599999999999994" thickTop="1">
      <c r="A14" s="315" t="s">
        <v>39</v>
      </c>
      <c r="B14" s="78">
        <f>Data!A65</f>
        <v>10.1</v>
      </c>
      <c r="C14" s="71" t="str">
        <f>Data!B65</f>
        <v>Project Schedule</v>
      </c>
      <c r="D14" s="82" t="str">
        <f>Data!C65</f>
        <v>Task descriptions contain an acceptable level of detail. Task predecessor links properly used with no open-ended tasks.  Task progress bar properly used to indicate % completion status of active tasks. All tasks set to Auto-Schedule mode. All Resource Names added. Milestones identified and properly linked. All task flow in a chronological order.</v>
      </c>
      <c r="E14" s="131" t="s">
        <v>22</v>
      </c>
      <c r="F14" s="178"/>
      <c r="G14" s="178"/>
      <c r="H14" s="178"/>
      <c r="I14" s="178"/>
      <c r="J14" s="178"/>
      <c r="K14" s="178"/>
      <c r="L14" s="178"/>
      <c r="M14" s="178"/>
      <c r="N14" s="178"/>
      <c r="O14" s="178"/>
      <c r="P14" s="178"/>
      <c r="Q14" s="153"/>
      <c r="R14" s="51">
        <f t="shared" si="0"/>
        <v>12</v>
      </c>
      <c r="S14" s="451">
        <v>1</v>
      </c>
      <c r="T14" s="329">
        <f>AVERAGE(R14:R15)*S14</f>
        <v>12</v>
      </c>
    </row>
    <row r="15" spans="1:20" ht="125.4" thickBot="1">
      <c r="A15" s="314"/>
      <c r="B15" s="119">
        <f>Data!A66</f>
        <v>10.199999999999999</v>
      </c>
      <c r="C15" s="58" t="str">
        <f>Data!B66</f>
        <v>Gantt Charts &amp; Critical Path</v>
      </c>
      <c r="D15" s="75" t="str">
        <f>Data!C66&amp;" Level 2 from Gate 1 through Gate 6"</f>
        <v>Gantt Chart(s): Properly formatted to clearly define project status details and all information in the Gantt Charts is aligned with the Gate requirements. Task level information clearly indicates an appropriate level of detail. Chart types are properly created as defined in the Project Schedule Guidelines. Critical Path: MS Project able to calculate critical path based on existing tasks and predecessor structure. Clearly defined and shown using the Level 3 chart format. Gantt Charts content should be To gate  Level 2 from Gate 1 through Gate 6</v>
      </c>
      <c r="E15" s="148" t="s">
        <v>22</v>
      </c>
      <c r="F15" s="149"/>
      <c r="G15" s="149"/>
      <c r="H15" s="149"/>
      <c r="I15" s="149"/>
      <c r="J15" s="149"/>
      <c r="K15" s="149"/>
      <c r="L15" s="149"/>
      <c r="M15" s="149"/>
      <c r="N15" s="149"/>
      <c r="O15" s="149"/>
      <c r="P15" s="149"/>
      <c r="Q15" s="159"/>
      <c r="R15" s="54">
        <f t="shared" si="0"/>
        <v>12</v>
      </c>
      <c r="S15" s="453"/>
      <c r="T15" s="330"/>
    </row>
    <row r="16" spans="1:20" ht="47.4" thickTop="1">
      <c r="A16" s="315" t="s">
        <v>78</v>
      </c>
      <c r="B16" s="198">
        <f>Data!A69</f>
        <v>11.1</v>
      </c>
      <c r="C16" s="152" t="str">
        <f>Data!B69</f>
        <v>Project Results</v>
      </c>
      <c r="D16" s="165" t="str">
        <f>Data!C69</f>
        <v>RE-visit Problem Statement and describe team efforts to resolve primary issues, results of build and testing efforts, critical techniques used, and critical data results and analysis conclusions</v>
      </c>
      <c r="E16" s="131" t="s">
        <v>22</v>
      </c>
      <c r="F16" s="178"/>
      <c r="G16" s="178"/>
      <c r="H16" s="178"/>
      <c r="I16" s="178"/>
      <c r="J16" s="178"/>
      <c r="K16" s="178"/>
      <c r="L16" s="178"/>
      <c r="M16" s="178"/>
      <c r="N16" s="178"/>
      <c r="O16" s="178"/>
      <c r="P16" s="178"/>
      <c r="Q16" s="153"/>
      <c r="R16" s="51">
        <f t="shared" si="0"/>
        <v>12</v>
      </c>
      <c r="S16" s="451">
        <v>1</v>
      </c>
      <c r="T16" s="329">
        <f>AVERAGE(R16:R18)*S16</f>
        <v>12</v>
      </c>
    </row>
    <row r="17" spans="1:25" ht="46.8">
      <c r="A17" s="316"/>
      <c r="B17" s="244">
        <f>Data!A70</f>
        <v>11.2</v>
      </c>
      <c r="C17" s="156" t="str">
        <f>Data!B70</f>
        <v>Lessons Learned</v>
      </c>
      <c r="D17" s="166" t="str">
        <f>Data!C70</f>
        <v>List most important lessons learned by sharing experiences of how new and improved techniques or processes were developed and how they were instrumental in achieving your design requirements.</v>
      </c>
      <c r="E17" s="130" t="s">
        <v>29</v>
      </c>
      <c r="F17" s="134"/>
      <c r="G17" s="134"/>
      <c r="H17" s="134"/>
      <c r="I17" s="134"/>
      <c r="J17" s="134"/>
      <c r="K17" s="134"/>
      <c r="L17" s="134"/>
      <c r="M17" s="134"/>
      <c r="N17" s="134"/>
      <c r="O17" s="134"/>
      <c r="P17" s="134"/>
      <c r="Q17" s="157"/>
      <c r="R17" s="52">
        <f t="shared" si="0"/>
        <v>12</v>
      </c>
      <c r="S17" s="452"/>
      <c r="T17" s="331"/>
    </row>
    <row r="18" spans="1:25" ht="47.4" thickBot="1">
      <c r="A18" s="314"/>
      <c r="B18" s="199">
        <f>Data!A71</f>
        <v>11.3</v>
      </c>
      <c r="C18" s="146" t="str">
        <f>Data!B71</f>
        <v>Recommendations</v>
      </c>
      <c r="D18" s="147" t="str">
        <f>Data!C71</f>
        <v>Describe all team recommendations with enough detail to best direct your client to initiate future action within their company. Create a  table or bullet list summarizing the details of each recommendation.</v>
      </c>
      <c r="E18" s="148" t="s">
        <v>22</v>
      </c>
      <c r="F18" s="149"/>
      <c r="G18" s="149"/>
      <c r="H18" s="149"/>
      <c r="I18" s="149"/>
      <c r="J18" s="149"/>
      <c r="K18" s="149"/>
      <c r="L18" s="149"/>
      <c r="M18" s="149"/>
      <c r="N18" s="149"/>
      <c r="O18" s="149"/>
      <c r="P18" s="149"/>
      <c r="Q18" s="159"/>
      <c r="R18" s="54">
        <f t="shared" si="0"/>
        <v>12</v>
      </c>
      <c r="S18" s="453"/>
      <c r="T18" s="330"/>
    </row>
    <row r="19" spans="1:25" ht="32.25" customHeight="1" thickTop="1" thickBot="1">
      <c r="A19" s="136"/>
      <c r="B19" s="121" t="str">
        <f>Data!A73</f>
        <v>NA</v>
      </c>
      <c r="C19" s="122" t="str">
        <f>Data!B73</f>
        <v>Project overall results</v>
      </c>
      <c r="D19" s="123" t="str">
        <f>Data!C73</f>
        <v>Has the final product been tested and proven to meet every requirement as outlined in the requirements matrix?</v>
      </c>
      <c r="E19" s="133" t="s">
        <v>29</v>
      </c>
      <c r="F19" s="137"/>
      <c r="G19" s="137"/>
      <c r="H19" s="137"/>
      <c r="I19" s="137"/>
      <c r="J19" s="137"/>
      <c r="K19" s="137"/>
      <c r="L19" s="137"/>
      <c r="M19" s="137"/>
      <c r="N19" s="137"/>
      <c r="O19" s="137"/>
      <c r="P19" s="137"/>
      <c r="Q19" s="177"/>
      <c r="R19" s="47">
        <f t="shared" si="0"/>
        <v>12</v>
      </c>
      <c r="S19" s="45">
        <v>1</v>
      </c>
      <c r="T19" s="247">
        <f>S19*R19</f>
        <v>12</v>
      </c>
    </row>
    <row r="20" spans="1:25" ht="31.8" thickTop="1">
      <c r="A20" s="315" t="s">
        <v>28</v>
      </c>
      <c r="B20" s="198"/>
      <c r="C20" s="152" t="str">
        <f>Data!B7</f>
        <v>Formatting and References</v>
      </c>
      <c r="D20" s="165" t="str">
        <f>Data!C7</f>
        <v>Uses IEEE format to develop the Title Page, Table of Contents, Appendix, and Work Cited sections of this report.</v>
      </c>
      <c r="E20" s="131" t="s">
        <v>22</v>
      </c>
      <c r="F20" s="178"/>
      <c r="G20" s="178"/>
      <c r="H20" s="178"/>
      <c r="I20" s="178"/>
      <c r="J20" s="178"/>
      <c r="K20" s="178"/>
      <c r="L20" s="178"/>
      <c r="M20" s="178"/>
      <c r="N20" s="178"/>
      <c r="O20" s="178"/>
      <c r="P20" s="178"/>
      <c r="Q20" s="153"/>
      <c r="R20" s="51">
        <f t="shared" si="0"/>
        <v>12</v>
      </c>
      <c r="S20" s="451">
        <v>1</v>
      </c>
      <c r="T20" s="329">
        <f>AVERAGE(R20:R22)*S20</f>
        <v>12</v>
      </c>
    </row>
    <row r="21" spans="1:25" ht="46.8">
      <c r="A21" s="316"/>
      <c r="B21" s="244"/>
      <c r="C21" s="156" t="str">
        <f>Data!B8</f>
        <v>Text</v>
      </c>
      <c r="D21" s="166" t="str">
        <f>Data!C8</f>
        <v>Free of spelling and grammatical errors, text flows with contiguous threads, consistent format, use of 3rd person perspective, non-repeating ideas or information.</v>
      </c>
      <c r="E21" s="130" t="s">
        <v>22</v>
      </c>
      <c r="F21" s="134"/>
      <c r="G21" s="134"/>
      <c r="H21" s="134"/>
      <c r="I21" s="134"/>
      <c r="J21" s="134"/>
      <c r="K21" s="134"/>
      <c r="L21" s="134"/>
      <c r="M21" s="134"/>
      <c r="N21" s="134"/>
      <c r="O21" s="134"/>
      <c r="P21" s="134"/>
      <c r="Q21" s="157"/>
      <c r="R21" s="52">
        <f t="shared" si="0"/>
        <v>12</v>
      </c>
      <c r="S21" s="452"/>
      <c r="T21" s="331"/>
      <c r="Y21" s="7"/>
    </row>
    <row r="22" spans="1:25" ht="63" thickBot="1">
      <c r="A22" s="314"/>
      <c r="B22" s="199"/>
      <c r="C22" s="146" t="str">
        <f>Data!B9</f>
        <v>Visual Aids</v>
      </c>
      <c r="D22" s="147" t="str">
        <f>Data!C9</f>
        <v>Visual aids (all figures including hand sketches, photos, charts, etc. and tables) are clear and readable and of professional quality.  Graphic aspects labeled and linked to text to transmit critical information, units/scaling clear. Proper IEEE style utilized.</v>
      </c>
      <c r="E22" s="148" t="s">
        <v>22</v>
      </c>
      <c r="F22" s="149"/>
      <c r="G22" s="149"/>
      <c r="H22" s="149"/>
      <c r="I22" s="149"/>
      <c r="J22" s="149"/>
      <c r="K22" s="149"/>
      <c r="L22" s="149"/>
      <c r="M22" s="149"/>
      <c r="N22" s="149"/>
      <c r="O22" s="149"/>
      <c r="P22" s="149"/>
      <c r="Q22" s="159"/>
      <c r="R22" s="54">
        <f t="shared" si="0"/>
        <v>12</v>
      </c>
      <c r="S22" s="453"/>
      <c r="T22" s="330"/>
    </row>
    <row r="23" spans="1:25" ht="47.4" thickTop="1">
      <c r="A23" s="439"/>
      <c r="B23" s="249" t="str">
        <f>Data!A79</f>
        <v>A5</v>
      </c>
      <c r="C23" s="264" t="str">
        <f>Data!B79</f>
        <v>Mechanical Drawings</v>
      </c>
      <c r="D23" s="251" t="str">
        <f>Data!C79</f>
        <v xml:space="preserve">Provides a full engineering mechanical description and documentation for the project design in sufficient detail that the design could be manufactured/produced/assembled. </v>
      </c>
      <c r="E23" s="131" t="s">
        <v>22</v>
      </c>
      <c r="F23" s="178"/>
      <c r="G23" s="178"/>
      <c r="H23" s="178"/>
      <c r="I23" s="178"/>
      <c r="J23" s="178"/>
      <c r="K23" s="178"/>
      <c r="L23" s="178"/>
      <c r="M23" s="178"/>
      <c r="N23" s="178"/>
      <c r="O23" s="178"/>
      <c r="P23" s="178"/>
      <c r="Q23" s="153"/>
      <c r="R23" s="51">
        <f t="shared" si="0"/>
        <v>12</v>
      </c>
      <c r="S23" s="451">
        <v>1</v>
      </c>
      <c r="T23" s="329">
        <f>AVERAGE(R23:R28)*S23</f>
        <v>12</v>
      </c>
    </row>
    <row r="24" spans="1:25" ht="46.8">
      <c r="A24" s="440"/>
      <c r="B24" s="252" t="str">
        <f>Data!A80</f>
        <v>A6</v>
      </c>
      <c r="C24" s="265" t="str">
        <f>Data!B80</f>
        <v>Electrical Drawings</v>
      </c>
      <c r="D24" s="254" t="str">
        <f>Data!C80</f>
        <v xml:space="preserve">Provides a full engineering electrical description and documentation for the project design in sufficient detail that the design could be manufactured/produced/assembled. </v>
      </c>
      <c r="E24" s="130" t="s">
        <v>22</v>
      </c>
      <c r="F24" s="134"/>
      <c r="G24" s="134"/>
      <c r="H24" s="134"/>
      <c r="I24" s="134"/>
      <c r="J24" s="134"/>
      <c r="K24" s="134"/>
      <c r="L24" s="134"/>
      <c r="M24" s="134"/>
      <c r="N24" s="134"/>
      <c r="O24" s="134"/>
      <c r="P24" s="134"/>
      <c r="Q24" s="157"/>
      <c r="R24" s="52">
        <v>12</v>
      </c>
      <c r="S24" s="452"/>
      <c r="T24" s="331"/>
    </row>
    <row r="25" spans="1:25" ht="46.8">
      <c r="A25" s="440"/>
      <c r="B25" s="252" t="str">
        <f>Data!A81</f>
        <v>A7</v>
      </c>
      <c r="C25" s="265" t="str">
        <f>Data!B81</f>
        <v>Software and Programming Files</v>
      </c>
      <c r="D25" s="254" t="str">
        <f>Data!C81</f>
        <v>Provides a full engineering software  description and documentation for the project design in sufficient detail that the program can be reproduced.</v>
      </c>
      <c r="E25" s="130" t="s">
        <v>22</v>
      </c>
      <c r="F25" s="134"/>
      <c r="G25" s="134"/>
      <c r="H25" s="134"/>
      <c r="I25" s="134"/>
      <c r="J25" s="134"/>
      <c r="K25" s="134"/>
      <c r="L25" s="134"/>
      <c r="M25" s="134"/>
      <c r="N25" s="134"/>
      <c r="O25" s="134"/>
      <c r="P25" s="134"/>
      <c r="Q25" s="157"/>
      <c r="R25" s="52">
        <f t="shared" si="0"/>
        <v>12</v>
      </c>
      <c r="S25" s="452"/>
      <c r="T25" s="331"/>
    </row>
    <row r="26" spans="1:25" ht="31.2">
      <c r="A26" s="440"/>
      <c r="B26" s="252" t="str">
        <f>Data!A83</f>
        <v>A9</v>
      </c>
      <c r="C26" s="265" t="str">
        <f>Data!B83</f>
        <v>Failure Modes and Effects Analysis (FMEA)</v>
      </c>
      <c r="D26" s="254" t="str">
        <f>Data!C83</f>
        <v>Attach the FMEA in the Appendix</v>
      </c>
      <c r="E26" s="130" t="s">
        <v>22</v>
      </c>
      <c r="F26" s="134"/>
      <c r="G26" s="134"/>
      <c r="H26" s="134"/>
      <c r="I26" s="134"/>
      <c r="J26" s="134"/>
      <c r="K26" s="134"/>
      <c r="L26" s="134"/>
      <c r="M26" s="134"/>
      <c r="N26" s="134"/>
      <c r="O26" s="134"/>
      <c r="P26" s="134"/>
      <c r="Q26" s="157"/>
      <c r="R26" s="52">
        <f t="shared" si="0"/>
        <v>12</v>
      </c>
      <c r="S26" s="452"/>
      <c r="T26" s="331"/>
    </row>
    <row r="27" spans="1:25" ht="15.6">
      <c r="A27" s="440"/>
      <c r="B27" s="252" t="str">
        <f>Data!A84</f>
        <v>A10</v>
      </c>
      <c r="C27" s="265" t="str">
        <f>Data!B84</f>
        <v>Parts Requisition Forms</v>
      </c>
      <c r="D27" s="254" t="str">
        <f>Data!C84</f>
        <v>Contains copies of all parts requisition form submitted</v>
      </c>
      <c r="E27" s="130"/>
      <c r="F27" s="134"/>
      <c r="G27" s="134"/>
      <c r="H27" s="134"/>
      <c r="I27" s="134"/>
      <c r="J27" s="134"/>
      <c r="K27" s="134"/>
      <c r="L27" s="134"/>
      <c r="M27" s="134"/>
      <c r="N27" s="134"/>
      <c r="O27" s="134"/>
      <c r="P27" s="134"/>
      <c r="Q27" s="157"/>
      <c r="R27" s="52"/>
      <c r="S27" s="452"/>
      <c r="T27" s="331"/>
    </row>
    <row r="28" spans="1:25" ht="47.4" thickBot="1">
      <c r="A28" s="441"/>
      <c r="B28" s="255" t="str">
        <f>Data!A85</f>
        <v>A11</v>
      </c>
      <c r="C28" s="266" t="str">
        <f>Data!B85</f>
        <v>Team Member Contact Information</v>
      </c>
      <c r="D28" s="257" t="str">
        <f>Data!C85</f>
        <v xml:space="preserve">Create a bullet list or table of all the team members contact information.  Include name, professional contact information, and an email address that will be valid after the class is complete. </v>
      </c>
      <c r="E28" s="148" t="s">
        <v>22</v>
      </c>
      <c r="F28" s="149"/>
      <c r="G28" s="149"/>
      <c r="H28" s="149"/>
      <c r="I28" s="149"/>
      <c r="J28" s="149"/>
      <c r="K28" s="149"/>
      <c r="L28" s="149"/>
      <c r="M28" s="149"/>
      <c r="N28" s="149"/>
      <c r="O28" s="149"/>
      <c r="P28" s="149"/>
      <c r="Q28" s="159"/>
      <c r="R28" s="54">
        <f t="shared" si="0"/>
        <v>12</v>
      </c>
      <c r="S28" s="453"/>
      <c r="T28" s="330"/>
    </row>
    <row r="29" spans="1:25" ht="16.2" thickTop="1">
      <c r="A29" s="315" t="s">
        <v>20</v>
      </c>
      <c r="B29" s="437"/>
      <c r="C29" s="321"/>
      <c r="D29" s="321"/>
      <c r="E29" s="321"/>
      <c r="F29" s="321"/>
      <c r="G29" s="321"/>
      <c r="H29" s="321"/>
      <c r="I29" s="321"/>
      <c r="J29" s="321"/>
      <c r="K29" s="321"/>
      <c r="L29" s="321"/>
      <c r="M29" s="321"/>
      <c r="N29" s="321"/>
      <c r="O29" s="321"/>
      <c r="P29" s="321"/>
      <c r="Q29" s="322"/>
      <c r="R29" s="366" t="s">
        <v>30</v>
      </c>
      <c r="S29" s="367"/>
      <c r="T29" s="67">
        <f>SUM(T4:T28)</f>
        <v>96</v>
      </c>
    </row>
    <row r="30" spans="1:25" ht="15.6">
      <c r="A30" s="318"/>
      <c r="B30" s="323"/>
      <c r="C30" s="324"/>
      <c r="D30" s="324"/>
      <c r="E30" s="324"/>
      <c r="F30" s="324"/>
      <c r="G30" s="324"/>
      <c r="H30" s="324"/>
      <c r="I30" s="324"/>
      <c r="J30" s="324"/>
      <c r="K30" s="324"/>
      <c r="L30" s="324"/>
      <c r="M30" s="324"/>
      <c r="N30" s="324"/>
      <c r="O30" s="324"/>
      <c r="P30" s="324"/>
      <c r="Q30" s="325"/>
      <c r="R30" s="368" t="s">
        <v>31</v>
      </c>
      <c r="S30" s="369"/>
      <c r="T30" s="68">
        <v>96</v>
      </c>
    </row>
    <row r="31" spans="1:25" ht="16.2" thickBot="1">
      <c r="A31" s="319"/>
      <c r="B31" s="326"/>
      <c r="C31" s="327"/>
      <c r="D31" s="327"/>
      <c r="E31" s="327"/>
      <c r="F31" s="327"/>
      <c r="G31" s="327"/>
      <c r="H31" s="327"/>
      <c r="I31" s="327"/>
      <c r="J31" s="327"/>
      <c r="K31" s="327"/>
      <c r="L31" s="327"/>
      <c r="M31" s="327"/>
      <c r="N31" s="327"/>
      <c r="O31" s="327"/>
      <c r="P31" s="327"/>
      <c r="Q31" s="328"/>
      <c r="R31" s="370" t="s">
        <v>32</v>
      </c>
      <c r="S31" s="371"/>
      <c r="T31" s="69">
        <f>T29/T30</f>
        <v>1</v>
      </c>
    </row>
    <row r="32" spans="1:25" ht="15" thickTop="1"/>
  </sheetData>
  <mergeCells count="28">
    <mergeCell ref="A7:A10"/>
    <mergeCell ref="S7:S10"/>
    <mergeCell ref="T7:T10"/>
    <mergeCell ref="A2:T2"/>
    <mergeCell ref="A4:A6"/>
    <mergeCell ref="D4:D6"/>
    <mergeCell ref="S4:S6"/>
    <mergeCell ref="T4:T6"/>
    <mergeCell ref="A11:A13"/>
    <mergeCell ref="S11:S13"/>
    <mergeCell ref="T11:T13"/>
    <mergeCell ref="A14:A15"/>
    <mergeCell ref="S14:S15"/>
    <mergeCell ref="T14:T15"/>
    <mergeCell ref="T20:T22"/>
    <mergeCell ref="A23:A28"/>
    <mergeCell ref="S23:S28"/>
    <mergeCell ref="T23:T28"/>
    <mergeCell ref="A16:A18"/>
    <mergeCell ref="S16:S18"/>
    <mergeCell ref="T16:T18"/>
    <mergeCell ref="R29:S29"/>
    <mergeCell ref="R30:S30"/>
    <mergeCell ref="R31:S31"/>
    <mergeCell ref="A20:A22"/>
    <mergeCell ref="S20:S22"/>
    <mergeCell ref="A29:A31"/>
    <mergeCell ref="B29:Q31"/>
  </mergeCells>
  <printOptions horizontalCentered="1"/>
  <pageMargins left="0.45" right="0.45" top="0.5" bottom="0.5" header="0.3" footer="0.3"/>
  <pageSetup scale="60" fitToHeight="2"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39202-CF82-4EFF-9F1D-68477451E75F}">
  <sheetPr>
    <tabColor theme="9" tint="0.39997558519241921"/>
    <pageSetUpPr fitToPage="1"/>
  </sheetPr>
  <dimension ref="A1:Q9"/>
  <sheetViews>
    <sheetView zoomScale="85" zoomScaleNormal="85" workbookViewId="0">
      <selection activeCell="C20" sqref="C20"/>
    </sheetView>
  </sheetViews>
  <sheetFormatPr defaultColWidth="8.6640625" defaultRowHeight="14.4"/>
  <cols>
    <col min="1" max="1" width="15.6640625" style="5" customWidth="1"/>
    <col min="2" max="2" width="25.44140625" bestFit="1" customWidth="1"/>
    <col min="3" max="3" width="71.6640625" bestFit="1" customWidth="1"/>
    <col min="4" max="4" width="12.44140625" customWidth="1"/>
    <col min="5" max="5" width="4.6640625" customWidth="1"/>
    <col min="6" max="11" width="4.44140625" customWidth="1"/>
    <col min="12" max="14" width="3.33203125" bestFit="1" customWidth="1"/>
    <col min="15" max="15" width="3.6640625" bestFit="1" customWidth="1"/>
    <col min="16" max="16" width="9.33203125" customWidth="1"/>
    <col min="17" max="17" width="6.33203125" bestFit="1" customWidth="1"/>
  </cols>
  <sheetData>
    <row r="1" spans="1:17" ht="15" thickBot="1"/>
    <row r="2" spans="1:17" ht="34.200000000000003" thickBot="1">
      <c r="A2" s="459" t="s">
        <v>79</v>
      </c>
      <c r="B2" s="460"/>
      <c r="C2" s="460"/>
      <c r="D2" s="460"/>
      <c r="E2" s="460"/>
      <c r="F2" s="460"/>
      <c r="G2" s="460"/>
      <c r="H2" s="460"/>
      <c r="I2" s="460"/>
      <c r="J2" s="460"/>
      <c r="K2" s="460"/>
      <c r="L2" s="460"/>
      <c r="M2" s="460"/>
      <c r="N2" s="460"/>
      <c r="O2" s="460"/>
      <c r="P2" s="460"/>
      <c r="Q2" s="461"/>
    </row>
    <row r="3" spans="1:17" ht="63" thickBot="1">
      <c r="A3" s="271" t="s">
        <v>1</v>
      </c>
      <c r="B3" s="271" t="s">
        <v>3</v>
      </c>
      <c r="C3" s="271" t="s">
        <v>51</v>
      </c>
      <c r="D3" s="272" t="s">
        <v>80</v>
      </c>
      <c r="E3" s="273" t="s">
        <v>81</v>
      </c>
      <c r="F3" s="273" t="s">
        <v>82</v>
      </c>
      <c r="G3" s="273" t="s">
        <v>83</v>
      </c>
      <c r="H3" s="273" t="s">
        <v>84</v>
      </c>
      <c r="I3" s="273" t="s">
        <v>85</v>
      </c>
      <c r="J3" s="273" t="s">
        <v>86</v>
      </c>
      <c r="K3" s="273" t="s">
        <v>7</v>
      </c>
      <c r="L3" s="273" t="s">
        <v>9</v>
      </c>
      <c r="M3" s="273" t="s">
        <v>11</v>
      </c>
      <c r="N3" s="273" t="s">
        <v>13</v>
      </c>
      <c r="O3" s="273" t="s">
        <v>15</v>
      </c>
      <c r="P3" s="274" t="s">
        <v>17</v>
      </c>
      <c r="Q3" s="271" t="s">
        <v>87</v>
      </c>
    </row>
    <row r="4" spans="1:17" ht="31.2">
      <c r="A4" s="275" t="s">
        <v>88</v>
      </c>
      <c r="B4" s="276" t="str">
        <f>Data!B18</f>
        <v>Participation</v>
      </c>
      <c r="C4" s="277" t="str">
        <f>Data!C18</f>
        <v>All team members are required to attend and participate in the Tech Expo.</v>
      </c>
      <c r="D4" s="214" t="s">
        <v>22</v>
      </c>
      <c r="E4" s="278"/>
      <c r="F4" s="278"/>
      <c r="G4" s="278"/>
      <c r="H4" s="278"/>
      <c r="I4" s="278"/>
      <c r="J4" s="278"/>
      <c r="K4" s="278"/>
      <c r="L4" s="278"/>
      <c r="M4" s="278"/>
      <c r="N4" s="278"/>
      <c r="O4" s="278"/>
      <c r="P4" s="279"/>
      <c r="Q4" s="17">
        <f>IF(D4="x",24,IF(E4="x",22,IF(F4="x",20,IF(G4="x",18,IF(H4="x",16,IF(I4="x",14,IF(J4="x",12,IF(K4="x",10,IF(L4="x",8,IF(M4="x",6,IF(N4="x",4,IF(O4="x",2,IF(P4="x",0,"")))))))))))))</f>
        <v>24</v>
      </c>
    </row>
    <row r="5" spans="1:17" ht="78">
      <c r="A5" s="280" t="s">
        <v>89</v>
      </c>
      <c r="B5" s="281" t="str">
        <f>Data!B19</f>
        <v>Poster and Demo Materials</v>
      </c>
      <c r="C5" s="282" t="str">
        <f>Data!C19</f>
        <v>All demonstration materials are prepared and organized professionally. Poster outline, figures, and tables in engineering format, free of spelling and grammatical errors, data is well-organized and defined in tabular or graphical form. Annotations are used to describe key points in the figures.</v>
      </c>
      <c r="D5" s="220" t="s">
        <v>22</v>
      </c>
      <c r="E5" s="134"/>
      <c r="F5" s="134"/>
      <c r="G5" s="134"/>
      <c r="H5" s="134"/>
      <c r="I5" s="134"/>
      <c r="J5" s="134"/>
      <c r="K5" s="134"/>
      <c r="L5" s="134"/>
      <c r="M5" s="134"/>
      <c r="N5" s="134"/>
      <c r="O5" s="134"/>
      <c r="P5" s="283"/>
      <c r="Q5" s="18">
        <f>IF(D5="x",24,IF(E5="x",22,IF(F5="x",20,IF(G5="x",18,IF(H5="x",16,IF(I5="x",14,IF(J5="x",12,IF(K5="x",10,IF(L5="x",8,IF(M5="x",6,IF(N5="x",4,IF(O5="x",2,IF(P5="x",0,"")))))))))))))</f>
        <v>24</v>
      </c>
    </row>
    <row r="6" spans="1:17" ht="47.4" thickBot="1">
      <c r="A6" s="284" t="s">
        <v>90</v>
      </c>
      <c r="B6" s="285" t="str">
        <f>Data!B20</f>
        <v>Online Presence</v>
      </c>
      <c r="C6" s="286" t="str">
        <f>Data!C20</f>
        <v>Each team has created an online Microsoft Team meeting for online visitors to attend the Tech Expo. At least one team member is attentive online.</v>
      </c>
      <c r="D6" s="226" t="s">
        <v>22</v>
      </c>
      <c r="E6" s="287"/>
      <c r="F6" s="287"/>
      <c r="G6" s="287"/>
      <c r="H6" s="287"/>
      <c r="I6" s="287"/>
      <c r="J6" s="287"/>
      <c r="K6" s="287"/>
      <c r="L6" s="287"/>
      <c r="M6" s="287"/>
      <c r="N6" s="287"/>
      <c r="O6" s="287"/>
      <c r="P6" s="288"/>
      <c r="Q6" s="19">
        <f>IF(D6="x",24,IF(E6="x",22,IF(F6="x",20,IF(G6="x",18,IF(H6="x",16,IF(I6="x",14,IF(J6="x",12,IF(K6="x",10,IF(L6="x",8,IF(M6="x",6,IF(N6="x",4,IF(O6="x",2,IF(P6="x",0,"")))))))))))))</f>
        <v>24</v>
      </c>
    </row>
    <row r="7" spans="1:17" ht="15.6">
      <c r="A7" s="135"/>
      <c r="B7" s="289"/>
      <c r="C7" s="289"/>
      <c r="D7" s="289"/>
      <c r="E7" s="289"/>
      <c r="F7" s="289"/>
      <c r="G7" s="289"/>
      <c r="H7" s="289"/>
      <c r="I7" s="289"/>
      <c r="J7" s="289"/>
      <c r="K7" s="289"/>
      <c r="L7" s="289"/>
      <c r="M7" s="289"/>
      <c r="N7" s="456" t="s">
        <v>30</v>
      </c>
      <c r="O7" s="457"/>
      <c r="P7" s="457"/>
      <c r="Q7" s="15">
        <f>SUM(Q4:Q6)</f>
        <v>72</v>
      </c>
    </row>
    <row r="8" spans="1:17" ht="15.6">
      <c r="A8" s="135"/>
      <c r="B8" s="289"/>
      <c r="C8" s="289"/>
      <c r="D8" s="289"/>
      <c r="E8" s="289"/>
      <c r="F8" s="289"/>
      <c r="G8" s="289"/>
      <c r="H8" s="289"/>
      <c r="I8" s="289"/>
      <c r="J8" s="289"/>
      <c r="K8" s="289"/>
      <c r="L8" s="289"/>
      <c r="M8" s="289"/>
      <c r="N8" s="458" t="s">
        <v>31</v>
      </c>
      <c r="O8" s="369"/>
      <c r="P8" s="369"/>
      <c r="Q8" s="16">
        <v>72</v>
      </c>
    </row>
    <row r="9" spans="1:17" ht="16.2" thickBot="1">
      <c r="A9" s="135"/>
      <c r="B9" s="289"/>
      <c r="C9" s="13"/>
      <c r="D9" s="289"/>
      <c r="E9" s="289"/>
      <c r="F9" s="289"/>
      <c r="G9" s="289"/>
      <c r="H9" s="289"/>
      <c r="I9" s="289"/>
      <c r="J9" s="289"/>
      <c r="K9" s="289"/>
      <c r="L9" s="289"/>
      <c r="M9" s="289"/>
      <c r="N9" s="454" t="s">
        <v>32</v>
      </c>
      <c r="O9" s="455"/>
      <c r="P9" s="455"/>
      <c r="Q9" s="12">
        <f>Q7/Q8</f>
        <v>1</v>
      </c>
    </row>
  </sheetData>
  <mergeCells count="4">
    <mergeCell ref="N9:P9"/>
    <mergeCell ref="N7:P7"/>
    <mergeCell ref="N8:P8"/>
    <mergeCell ref="A2:Q2"/>
  </mergeCells>
  <printOptions horizontalCentered="1"/>
  <pageMargins left="0.45" right="0.45" top="0.5" bottom="0.5" header="0.3" footer="0.3"/>
  <pageSetup scale="69" fitToHeight="2" orientation="landscape" r:id="rId1"/>
  <headerFooter>
    <oddHeader>&amp;C``</oddHead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B85D-2DD6-4404-834E-95DAEA51A70C}">
  <dimension ref="A4:G85"/>
  <sheetViews>
    <sheetView tabSelected="1" topLeftCell="A64" workbookViewId="0">
      <selection activeCell="B85" sqref="B85"/>
    </sheetView>
  </sheetViews>
  <sheetFormatPr defaultColWidth="8.88671875" defaultRowHeight="14.4"/>
  <cols>
    <col min="1" max="1" width="7.33203125" style="3" bestFit="1" customWidth="1"/>
    <col min="2" max="2" width="35.6640625" style="25" customWidth="1"/>
    <col min="3" max="3" width="146.6640625" style="2" customWidth="1"/>
    <col min="6" max="6" width="30" customWidth="1"/>
    <col min="7" max="7" width="255.44140625" customWidth="1"/>
  </cols>
  <sheetData>
    <row r="4" spans="1:3">
      <c r="A4" s="3" t="s">
        <v>91</v>
      </c>
      <c r="B4" s="23" t="s">
        <v>3</v>
      </c>
      <c r="C4" s="4" t="s">
        <v>92</v>
      </c>
    </row>
    <row r="5" spans="1:3" ht="28.8">
      <c r="A5" s="3" t="s">
        <v>93</v>
      </c>
      <c r="B5" s="23" t="s">
        <v>94</v>
      </c>
      <c r="C5" s="21" t="s">
        <v>95</v>
      </c>
    </row>
    <row r="6" spans="1:3">
      <c r="A6" s="3" t="s">
        <v>96</v>
      </c>
      <c r="B6" s="23" t="s">
        <v>97</v>
      </c>
      <c r="C6" s="22" t="s">
        <v>98</v>
      </c>
    </row>
    <row r="7" spans="1:3">
      <c r="B7" s="23" t="s">
        <v>99</v>
      </c>
      <c r="C7" s="4" t="s">
        <v>100</v>
      </c>
    </row>
    <row r="8" spans="1:3">
      <c r="B8" s="23" t="s">
        <v>92</v>
      </c>
      <c r="C8" s="21" t="s">
        <v>101</v>
      </c>
    </row>
    <row r="9" spans="1:3" ht="28.8">
      <c r="B9" s="23" t="s">
        <v>102</v>
      </c>
      <c r="C9" s="22" t="s">
        <v>103</v>
      </c>
    </row>
    <row r="10" spans="1:3" ht="31.2">
      <c r="B10" s="14" t="s">
        <v>104</v>
      </c>
      <c r="C10" s="176" t="s">
        <v>105</v>
      </c>
    </row>
    <row r="11" spans="1:3" ht="15.6">
      <c r="B11" s="14" t="s">
        <v>106</v>
      </c>
      <c r="C11" s="176" t="s">
        <v>107</v>
      </c>
    </row>
    <row r="12" spans="1:3" ht="46.8">
      <c r="B12" s="14" t="s">
        <v>108</v>
      </c>
      <c r="C12" s="176" t="s">
        <v>109</v>
      </c>
    </row>
    <row r="13" spans="1:3" ht="15.6">
      <c r="B13" s="14" t="s">
        <v>110</v>
      </c>
      <c r="C13" s="20" t="s">
        <v>111</v>
      </c>
    </row>
    <row r="14" spans="1:3" ht="15.6">
      <c r="B14" s="14" t="s">
        <v>112</v>
      </c>
      <c r="C14" s="20" t="s">
        <v>113</v>
      </c>
    </row>
    <row r="15" spans="1:3" ht="15.6">
      <c r="B15" s="14" t="s">
        <v>114</v>
      </c>
      <c r="C15" s="20" t="s">
        <v>115</v>
      </c>
    </row>
    <row r="16" spans="1:3" ht="31.2">
      <c r="B16" s="14" t="s">
        <v>116</v>
      </c>
      <c r="C16" s="20" t="s">
        <v>117</v>
      </c>
    </row>
    <row r="17" spans="1:3" ht="31.2">
      <c r="B17" s="14" t="s">
        <v>118</v>
      </c>
      <c r="C17" s="20" t="s">
        <v>119</v>
      </c>
    </row>
    <row r="18" spans="1:3" ht="15.6">
      <c r="B18" s="290" t="s">
        <v>88</v>
      </c>
      <c r="C18" s="176" t="s">
        <v>120</v>
      </c>
    </row>
    <row r="19" spans="1:3" ht="31.2">
      <c r="B19" s="290" t="s">
        <v>121</v>
      </c>
      <c r="C19" s="176" t="s">
        <v>122</v>
      </c>
    </row>
    <row r="20" spans="1:3" ht="15.6">
      <c r="B20" s="290" t="s">
        <v>123</v>
      </c>
      <c r="C20" s="176" t="s">
        <v>124</v>
      </c>
    </row>
    <row r="21" spans="1:3" ht="31.2">
      <c r="B21" s="176" t="s">
        <v>125</v>
      </c>
      <c r="C21" s="176" t="s">
        <v>126</v>
      </c>
    </row>
    <row r="22" spans="1:3">
      <c r="B22" s="23"/>
      <c r="C22" s="4"/>
    </row>
    <row r="23" spans="1:3">
      <c r="A23" s="3">
        <v>1.1000000000000001</v>
      </c>
      <c r="B23" s="23" t="s">
        <v>127</v>
      </c>
      <c r="C23" s="4" t="s">
        <v>128</v>
      </c>
    </row>
    <row r="24" spans="1:3" ht="28.8">
      <c r="A24" s="3">
        <v>1.2</v>
      </c>
      <c r="B24" s="23" t="s">
        <v>129</v>
      </c>
      <c r="C24" s="4" t="s">
        <v>130</v>
      </c>
    </row>
    <row r="25" spans="1:3" ht="28.8">
      <c r="A25" s="3">
        <v>1.3</v>
      </c>
      <c r="B25" s="23" t="s">
        <v>131</v>
      </c>
      <c r="C25" s="4" t="s">
        <v>132</v>
      </c>
    </row>
    <row r="26" spans="1:3" ht="43.2">
      <c r="A26" s="3">
        <v>1.4</v>
      </c>
      <c r="B26" s="23" t="s">
        <v>133</v>
      </c>
      <c r="C26" s="4" t="s">
        <v>134</v>
      </c>
    </row>
    <row r="27" spans="1:3">
      <c r="B27" s="23"/>
      <c r="C27" s="4"/>
    </row>
    <row r="28" spans="1:3" ht="43.2">
      <c r="A28" s="3">
        <v>2.1</v>
      </c>
      <c r="B28" s="23" t="s">
        <v>135</v>
      </c>
      <c r="C28" s="4" t="s">
        <v>136</v>
      </c>
    </row>
    <row r="29" spans="1:3">
      <c r="A29" s="3">
        <v>2.2000000000000002</v>
      </c>
      <c r="B29" s="23" t="s">
        <v>137</v>
      </c>
      <c r="C29" s="22" t="s">
        <v>138</v>
      </c>
    </row>
    <row r="30" spans="1:3">
      <c r="B30" s="23"/>
      <c r="C30" s="4"/>
    </row>
    <row r="31" spans="1:3" ht="28.8">
      <c r="A31" s="3">
        <v>3.1</v>
      </c>
      <c r="B31" s="24" t="s">
        <v>139</v>
      </c>
      <c r="C31" s="22" t="s">
        <v>140</v>
      </c>
    </row>
    <row r="32" spans="1:3" ht="28.8">
      <c r="A32" s="3">
        <v>3.2</v>
      </c>
      <c r="B32" s="23" t="s">
        <v>141</v>
      </c>
      <c r="C32" s="22" t="s">
        <v>142</v>
      </c>
    </row>
    <row r="33" spans="1:7">
      <c r="A33" s="3">
        <v>3.3</v>
      </c>
      <c r="B33" s="23" t="s">
        <v>143</v>
      </c>
      <c r="C33" s="22" t="s">
        <v>144</v>
      </c>
    </row>
    <row r="34" spans="1:7">
      <c r="B34" s="23"/>
      <c r="C34" s="4"/>
    </row>
    <row r="35" spans="1:7">
      <c r="A35" s="3">
        <v>4.0999999999999996</v>
      </c>
      <c r="B35" s="23" t="s">
        <v>145</v>
      </c>
      <c r="C35" s="22" t="s">
        <v>146</v>
      </c>
    </row>
    <row r="36" spans="1:7">
      <c r="A36" s="3">
        <v>4.2</v>
      </c>
      <c r="B36" s="23" t="s">
        <v>147</v>
      </c>
      <c r="C36" s="22" t="s">
        <v>148</v>
      </c>
    </row>
    <row r="37" spans="1:7">
      <c r="B37" s="23"/>
      <c r="C37" s="4"/>
    </row>
    <row r="38" spans="1:7" ht="43.2">
      <c r="A38" s="3">
        <v>5.0999999999999996</v>
      </c>
      <c r="B38" s="23" t="s">
        <v>149</v>
      </c>
      <c r="C38" s="22" t="s">
        <v>150</v>
      </c>
      <c r="F38" s="23"/>
      <c r="G38" s="22"/>
    </row>
    <row r="39" spans="1:7" ht="28.8">
      <c r="A39" s="3">
        <v>5.2</v>
      </c>
      <c r="B39" s="23" t="s">
        <v>151</v>
      </c>
      <c r="C39" s="22" t="s">
        <v>152</v>
      </c>
      <c r="F39" s="23"/>
      <c r="G39" s="22"/>
    </row>
    <row r="40" spans="1:7">
      <c r="A40" s="3">
        <v>5.3</v>
      </c>
      <c r="B40" s="23" t="s">
        <v>153</v>
      </c>
      <c r="C40" s="22" t="s">
        <v>154</v>
      </c>
      <c r="F40" s="23"/>
      <c r="G40" s="4"/>
    </row>
    <row r="41" spans="1:7">
      <c r="A41" s="3">
        <v>5.4</v>
      </c>
      <c r="B41" s="23" t="s">
        <v>155</v>
      </c>
      <c r="C41" s="4" t="s">
        <v>156</v>
      </c>
      <c r="F41" s="23"/>
      <c r="G41" s="4"/>
    </row>
    <row r="42" spans="1:7" ht="28.8">
      <c r="A42" s="3">
        <v>5.5</v>
      </c>
      <c r="B42" s="23" t="s">
        <v>157</v>
      </c>
      <c r="C42" s="4" t="s">
        <v>158</v>
      </c>
      <c r="F42" s="23"/>
      <c r="G42" s="4"/>
    </row>
    <row r="43" spans="1:7">
      <c r="A43" s="3">
        <v>5.6</v>
      </c>
      <c r="B43" s="23" t="s">
        <v>159</v>
      </c>
      <c r="C43" s="4" t="s">
        <v>160</v>
      </c>
      <c r="F43" s="23"/>
      <c r="G43" s="22"/>
    </row>
    <row r="44" spans="1:7">
      <c r="A44" s="3">
        <v>5.7</v>
      </c>
      <c r="B44" s="23" t="s">
        <v>161</v>
      </c>
      <c r="C44" s="22" t="s">
        <v>162</v>
      </c>
      <c r="F44" s="23"/>
      <c r="G44" s="22"/>
    </row>
    <row r="45" spans="1:7">
      <c r="B45" s="23"/>
      <c r="C45" s="4"/>
    </row>
    <row r="46" spans="1:7" ht="28.8">
      <c r="A46" s="3">
        <v>6.1</v>
      </c>
      <c r="B46" s="23" t="s">
        <v>163</v>
      </c>
      <c r="C46" s="22" t="s">
        <v>164</v>
      </c>
    </row>
    <row r="47" spans="1:7" ht="28.8">
      <c r="A47" s="3">
        <v>6.2</v>
      </c>
      <c r="B47" s="23" t="s">
        <v>165</v>
      </c>
      <c r="C47" s="22" t="s">
        <v>166</v>
      </c>
    </row>
    <row r="48" spans="1:7" ht="28.8">
      <c r="A48" s="3">
        <v>6.3</v>
      </c>
      <c r="B48" s="23" t="s">
        <v>167</v>
      </c>
      <c r="C48" s="22" t="s">
        <v>168</v>
      </c>
    </row>
    <row r="49" spans="1:3">
      <c r="A49" s="3">
        <v>6.4</v>
      </c>
      <c r="B49" s="23" t="s">
        <v>169</v>
      </c>
      <c r="C49" s="22" t="s">
        <v>170</v>
      </c>
    </row>
    <row r="50" spans="1:3" ht="28.8">
      <c r="A50" s="3">
        <v>6.5</v>
      </c>
      <c r="B50" s="23" t="s">
        <v>171</v>
      </c>
      <c r="C50" s="4" t="s">
        <v>172</v>
      </c>
    </row>
    <row r="51" spans="1:3">
      <c r="B51" s="23"/>
      <c r="C51" s="4"/>
    </row>
    <row r="52" spans="1:3" ht="28.8">
      <c r="A52" s="3">
        <v>7.1</v>
      </c>
      <c r="B52" s="23" t="s">
        <v>173</v>
      </c>
      <c r="C52" s="22" t="s">
        <v>174</v>
      </c>
    </row>
    <row r="53" spans="1:3">
      <c r="B53" s="23"/>
      <c r="C53" s="4"/>
    </row>
    <row r="54" spans="1:3" ht="28.8">
      <c r="A54" s="3">
        <v>8.1</v>
      </c>
      <c r="B54" s="23" t="s">
        <v>175</v>
      </c>
      <c r="C54" s="4" t="s">
        <v>176</v>
      </c>
    </row>
    <row r="55" spans="1:3" ht="28.8">
      <c r="A55" s="3">
        <v>8.1999999999999993</v>
      </c>
      <c r="B55" s="23" t="s">
        <v>177</v>
      </c>
      <c r="C55" s="4" t="s">
        <v>178</v>
      </c>
    </row>
    <row r="56" spans="1:3" ht="43.2">
      <c r="A56" s="3">
        <v>8.3000000000000007</v>
      </c>
      <c r="B56" s="23" t="s">
        <v>179</v>
      </c>
      <c r="C56" s="4" t="s">
        <v>180</v>
      </c>
    </row>
    <row r="57" spans="1:3">
      <c r="A57" s="3">
        <v>8.4</v>
      </c>
      <c r="B57" s="23" t="s">
        <v>181</v>
      </c>
      <c r="C57" s="4" t="s">
        <v>182</v>
      </c>
    </row>
    <row r="58" spans="1:3">
      <c r="A58" s="3">
        <v>8.5</v>
      </c>
      <c r="B58" s="23" t="s">
        <v>183</v>
      </c>
      <c r="C58" s="4" t="s">
        <v>184</v>
      </c>
    </row>
    <row r="59" spans="1:3">
      <c r="A59" s="3">
        <v>8.6</v>
      </c>
      <c r="B59" s="23" t="s">
        <v>185</v>
      </c>
      <c r="C59" s="4" t="s">
        <v>186</v>
      </c>
    </row>
    <row r="60" spans="1:3">
      <c r="B60" s="23"/>
      <c r="C60" s="4"/>
    </row>
    <row r="61" spans="1:3" ht="43.2">
      <c r="A61" s="3">
        <v>9.1</v>
      </c>
      <c r="B61" s="23" t="s">
        <v>187</v>
      </c>
      <c r="C61" s="4" t="s">
        <v>188</v>
      </c>
    </row>
    <row r="62" spans="1:3">
      <c r="A62" s="3">
        <v>9.1999999999999993</v>
      </c>
      <c r="B62" s="23" t="s">
        <v>189</v>
      </c>
      <c r="C62" s="4" t="s">
        <v>190</v>
      </c>
    </row>
    <row r="63" spans="1:3" ht="28.8">
      <c r="A63" s="3">
        <v>9.3000000000000007</v>
      </c>
      <c r="B63" s="23" t="s">
        <v>191</v>
      </c>
      <c r="C63" s="4" t="s">
        <v>192</v>
      </c>
    </row>
    <row r="64" spans="1:3">
      <c r="B64" s="23"/>
      <c r="C64" s="4"/>
    </row>
    <row r="65" spans="1:6" ht="36" customHeight="1">
      <c r="A65" s="3">
        <v>10.1</v>
      </c>
      <c r="B65" s="23" t="s">
        <v>193</v>
      </c>
      <c r="C65" s="4" t="s">
        <v>194</v>
      </c>
    </row>
    <row r="66" spans="1:6" ht="54" customHeight="1">
      <c r="A66" s="3">
        <v>10.199999999999999</v>
      </c>
      <c r="B66" s="23" t="s">
        <v>195</v>
      </c>
      <c r="C66" s="4" t="s">
        <v>196</v>
      </c>
    </row>
    <row r="67" spans="1:6">
      <c r="A67" s="3">
        <v>10.3</v>
      </c>
      <c r="B67" s="23" t="s">
        <v>197</v>
      </c>
      <c r="C67" s="22" t="s">
        <v>198</v>
      </c>
    </row>
    <row r="68" spans="1:6">
      <c r="B68" s="23"/>
      <c r="C68" s="4"/>
    </row>
    <row r="69" spans="1:6" ht="28.8">
      <c r="A69" s="3">
        <v>11.1</v>
      </c>
      <c r="B69" s="23" t="s">
        <v>199</v>
      </c>
      <c r="C69" s="4" t="s">
        <v>200</v>
      </c>
      <c r="F69" t="s">
        <v>201</v>
      </c>
    </row>
    <row r="70" spans="1:6" ht="28.8">
      <c r="A70" s="3">
        <v>11.2</v>
      </c>
      <c r="B70" s="23" t="s">
        <v>202</v>
      </c>
      <c r="C70" s="4" t="s">
        <v>203</v>
      </c>
    </row>
    <row r="71" spans="1:6" ht="28.8">
      <c r="A71" s="3">
        <v>11.3</v>
      </c>
      <c r="B71" s="23" t="s">
        <v>204</v>
      </c>
      <c r="C71" s="4" t="s">
        <v>205</v>
      </c>
    </row>
    <row r="72" spans="1:6">
      <c r="B72" s="23"/>
      <c r="C72" s="4"/>
    </row>
    <row r="73" spans="1:6">
      <c r="A73" s="3" t="s">
        <v>206</v>
      </c>
      <c r="B73" s="23" t="s">
        <v>207</v>
      </c>
      <c r="C73" s="4" t="s">
        <v>208</v>
      </c>
    </row>
    <row r="74" spans="1:6">
      <c r="B74" s="23"/>
      <c r="C74" s="4"/>
    </row>
    <row r="75" spans="1:6" ht="28.8">
      <c r="A75" s="3" t="s">
        <v>209</v>
      </c>
      <c r="B75" s="23" t="s">
        <v>210</v>
      </c>
      <c r="C75" s="22" t="s">
        <v>211</v>
      </c>
    </row>
    <row r="76" spans="1:6">
      <c r="A76" s="3" t="s">
        <v>212</v>
      </c>
      <c r="B76" s="23" t="s">
        <v>213</v>
      </c>
      <c r="C76" s="4" t="s">
        <v>214</v>
      </c>
    </row>
    <row r="77" spans="1:6">
      <c r="A77" s="3" t="s">
        <v>215</v>
      </c>
      <c r="B77" s="23" t="s">
        <v>153</v>
      </c>
      <c r="C77" s="22" t="s">
        <v>216</v>
      </c>
    </row>
    <row r="78" spans="1:6">
      <c r="A78" s="3" t="s">
        <v>217</v>
      </c>
      <c r="B78" s="23" t="s">
        <v>201</v>
      </c>
      <c r="C78" s="4" t="s">
        <v>218</v>
      </c>
    </row>
    <row r="79" spans="1:6">
      <c r="A79" s="3" t="s">
        <v>219</v>
      </c>
      <c r="B79" s="23" t="s">
        <v>220</v>
      </c>
      <c r="C79" s="4" t="s">
        <v>221</v>
      </c>
    </row>
    <row r="80" spans="1:6">
      <c r="A80" s="3" t="s">
        <v>222</v>
      </c>
      <c r="B80" s="23" t="s">
        <v>223</v>
      </c>
      <c r="C80" s="4" t="s">
        <v>224</v>
      </c>
    </row>
    <row r="81" spans="1:3">
      <c r="A81" s="3" t="s">
        <v>225</v>
      </c>
      <c r="B81" s="23" t="s">
        <v>226</v>
      </c>
      <c r="C81" s="4" t="s">
        <v>227</v>
      </c>
    </row>
    <row r="82" spans="1:3">
      <c r="A82" s="3" t="s">
        <v>228</v>
      </c>
      <c r="B82" s="23" t="s">
        <v>169</v>
      </c>
      <c r="C82" s="4" t="s">
        <v>229</v>
      </c>
    </row>
    <row r="83" spans="1:3">
      <c r="A83" s="3" t="s">
        <v>230</v>
      </c>
      <c r="B83" s="23" t="s">
        <v>173</v>
      </c>
      <c r="C83" s="4" t="s">
        <v>231</v>
      </c>
    </row>
    <row r="84" spans="1:3">
      <c r="A84" s="3" t="s">
        <v>232</v>
      </c>
      <c r="B84" s="23" t="s">
        <v>233</v>
      </c>
      <c r="C84" s="4" t="s">
        <v>234</v>
      </c>
    </row>
    <row r="85" spans="1:3" ht="28.8">
      <c r="A85" s="3" t="s">
        <v>235</v>
      </c>
      <c r="B85" s="23" t="s">
        <v>236</v>
      </c>
      <c r="C85" s="4" t="s">
        <v>237</v>
      </c>
    </row>
  </sheetData>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D609ECAE0D4B247ADE401805F85492F" ma:contentTypeVersion="0" ma:contentTypeDescription="Create a new document." ma:contentTypeScope="" ma:versionID="d63fe1565f3a96f660a840a7c7cc29fa">
  <xsd:schema xmlns:xsd="http://www.w3.org/2001/XMLSchema" xmlns:xs="http://www.w3.org/2001/XMLSchema" xmlns:p="http://schemas.microsoft.com/office/2006/metadata/properties" targetNamespace="http://schemas.microsoft.com/office/2006/metadata/properties" ma:root="true" ma:fieldsID="31d5eec3c12ee2e8127422d567928f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94B7919-35E2-4C7E-A567-1616645725B6}">
  <ds:schemaRefs>
    <ds:schemaRef ds:uri="http://schemas.microsoft.com/sharepoint/v3/contenttype/forms"/>
  </ds:schemaRefs>
</ds:datastoreItem>
</file>

<file path=customXml/itemProps2.xml><?xml version="1.0" encoding="utf-8"?>
<ds:datastoreItem xmlns:ds="http://schemas.openxmlformats.org/officeDocument/2006/customXml" ds:itemID="{A0DA6F18-7CAA-4AC3-B8CA-6F212B01C9C2}"/>
</file>

<file path=customXml/itemProps3.xml><?xml version="1.0" encoding="utf-8"?>
<ds:datastoreItem xmlns:ds="http://schemas.openxmlformats.org/officeDocument/2006/customXml" ds:itemID="{4C2E1878-C6D7-4819-B2D5-12354B963B8F}">
  <ds:schemaRefs>
    <ds:schemaRef ds:uri="http://www.w3.org/XML/1998/namespace"/>
    <ds:schemaRef ds:uri="http://purl.org/dc/dcmitype/"/>
    <ds:schemaRef ds:uri="http://schemas.microsoft.com/office/infopath/2007/PartnerControls"/>
    <ds:schemaRef ds:uri="http://purl.org/dc/terms/"/>
    <ds:schemaRef ds:uri="http://purl.org/dc/elements/1.1/"/>
    <ds:schemaRef ds:uri="http://schemas.openxmlformats.org/package/2006/metadata/core-properties"/>
    <ds:schemaRef ds:uri="http://schemas.microsoft.com/office/2006/metadata/properties"/>
    <ds:schemaRef ds:uri="http://schemas.microsoft.com/office/2006/documentManagement/types"/>
    <ds:schemaRef ds:uri="68d5e77d-756d-4536-b133-6862e7ad692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26</vt:i4>
      </vt:variant>
    </vt:vector>
  </HeadingPairs>
  <TitlesOfParts>
    <vt:vector size="38" baseType="lpstr">
      <vt:lpstr>G1R</vt:lpstr>
      <vt:lpstr>G1.5P</vt:lpstr>
      <vt:lpstr>G2R</vt:lpstr>
      <vt:lpstr>G2.5P</vt:lpstr>
      <vt:lpstr>G3P</vt:lpstr>
      <vt:lpstr>G4R</vt:lpstr>
      <vt:lpstr>G4.5D</vt:lpstr>
      <vt:lpstr>G5R</vt:lpstr>
      <vt:lpstr>G5.5D</vt:lpstr>
      <vt:lpstr>G6R</vt:lpstr>
      <vt:lpstr>Tech Expo</vt:lpstr>
      <vt:lpstr>Data</vt:lpstr>
      <vt:lpstr>Data!_Toc112498976</vt:lpstr>
      <vt:lpstr>Data!_Toc112498999</vt:lpstr>
      <vt:lpstr>Data!_Toc112499002</vt:lpstr>
      <vt:lpstr>Data!_Toc121086323</vt:lpstr>
      <vt:lpstr>G1.5P!Print_Area</vt:lpstr>
      <vt:lpstr>G1R!Print_Area</vt:lpstr>
      <vt:lpstr>G2.5P!Print_Area</vt:lpstr>
      <vt:lpstr>G2R!Print_Area</vt:lpstr>
      <vt:lpstr>G3P!Print_Area</vt:lpstr>
      <vt:lpstr>G4.5D!Print_Area</vt:lpstr>
      <vt:lpstr>G4R!Print_Area</vt:lpstr>
      <vt:lpstr>G5.5D!Print_Area</vt:lpstr>
      <vt:lpstr>G5R!Print_Area</vt:lpstr>
      <vt:lpstr>G6R!Print_Area</vt:lpstr>
      <vt:lpstr>'Tech Expo'!Print_Area</vt:lpstr>
      <vt:lpstr>G1.5P!Print_Titles</vt:lpstr>
      <vt:lpstr>G1R!Print_Titles</vt:lpstr>
      <vt:lpstr>G2.5P!Print_Titles</vt:lpstr>
      <vt:lpstr>G2R!Print_Titles</vt:lpstr>
      <vt:lpstr>G3P!Print_Titles</vt:lpstr>
      <vt:lpstr>G4.5D!Print_Titles</vt:lpstr>
      <vt:lpstr>G4R!Print_Titles</vt:lpstr>
      <vt:lpstr>G5.5D!Print_Titles</vt:lpstr>
      <vt:lpstr>G5R!Print_Titles</vt:lpstr>
      <vt:lpstr>G6R!Print_Titles</vt:lpstr>
      <vt:lpstr>'Tech Expo'!Print_Titles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Dave</dc:creator>
  <cp:keywords/>
  <dc:description/>
  <cp:lastModifiedBy>David D Merrick</cp:lastModifiedBy>
  <cp:revision/>
  <dcterms:created xsi:type="dcterms:W3CDTF">2020-12-11T16:21:13Z</dcterms:created>
  <dcterms:modified xsi:type="dcterms:W3CDTF">2025-08-18T18:40:26Z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0x0101001D609ECAE0D4B247ADE401805F85492F</vt:lpwstr>
  </property>
  <property fmtid="{D5CDD505-2E9C-101B-9397-08002B2CF9AE}" pid="3" name="MSIP_Label_f7606f69-b0ae-4874-be30-7d43a3c7be10_Enabled">
    <vt:lpwstr>true</vt:lpwstr>
  </property>
  <property fmtid="{D5CDD505-2E9C-101B-9397-08002B2CF9AE}" pid="4" name="MSIP_Label_f7606f69-b0ae-4874-be30-7d43a3c7be10_SetDate">
    <vt:lpwstr>2023-01-06T17:32:45Z</vt:lpwstr>
  </property>
  <property fmtid="{D5CDD505-2E9C-101B-9397-08002B2CF9AE}" pid="5" name="MSIP_Label_f7606f69-b0ae-4874-be30-7d43a3c7be10_Method">
    <vt:lpwstr>Privileged</vt:lpwstr>
  </property>
  <property fmtid="{D5CDD505-2E9C-101B-9397-08002B2CF9AE}" pid="6" name="MSIP_Label_f7606f69-b0ae-4874-be30-7d43a3c7be10_Name">
    <vt:lpwstr>defa4170-0d19-0005-0001-bc88714345d2</vt:lpwstr>
  </property>
  <property fmtid="{D5CDD505-2E9C-101B-9397-08002B2CF9AE}" pid="7" name="MSIP_Label_f7606f69-b0ae-4874-be30-7d43a3c7be10_SiteId">
    <vt:lpwstr>4130bd39-7c53-419c-b1e5-8758d6d63f21</vt:lpwstr>
  </property>
  <property fmtid="{D5CDD505-2E9C-101B-9397-08002B2CF9AE}" pid="8" name="MSIP_Label_f7606f69-b0ae-4874-be30-7d43a3c7be10_ActionId">
    <vt:lpwstr>39a9d9ab-0247-4543-a7c2-64ed6b5ca3eb</vt:lpwstr>
  </property>
  <property fmtid="{D5CDD505-2E9C-101B-9397-08002B2CF9AE}" pid="9" name="MSIP_Label_f7606f69-b0ae-4874-be30-7d43a3c7be10_ContentBits">
    <vt:lpwstr>0</vt:lpwstr>
  </property>
  <property fmtid="{D5CDD505-2E9C-101B-9397-08002B2CF9AE}" pid="10" name="Order">
    <vt:r8>68100</vt:r8>
  </property>
  <property fmtid="{D5CDD505-2E9C-101B-9397-08002B2CF9AE}" pid="11" name="xd_Signature">
    <vt:bool>false</vt:bool>
  </property>
  <property fmtid="{D5CDD505-2E9C-101B-9397-08002B2CF9AE}" pid="12" name="xd_ProgID">
    <vt:lpwstr/>
  </property>
  <property fmtid="{D5CDD505-2E9C-101B-9397-08002B2CF9AE}" pid="13" name="ComplianceAssetId">
    <vt:lpwstr/>
  </property>
  <property fmtid="{D5CDD505-2E9C-101B-9397-08002B2CF9AE}" pid="14" name="TemplateUrl">
    <vt:lpwstr/>
  </property>
  <property fmtid="{D5CDD505-2E9C-101B-9397-08002B2CF9AE}" pid="15" name="_ExtendedDescription">
    <vt:lpwstr/>
  </property>
  <property fmtid="{D5CDD505-2E9C-101B-9397-08002B2CF9AE}" pid="16" name="TriggerFlowInfo">
    <vt:lpwstr/>
  </property>
  <property fmtid="{D5CDD505-2E9C-101B-9397-08002B2CF9AE}" pid="17" name="_SourceUrl">
    <vt:lpwstr/>
  </property>
  <property fmtid="{D5CDD505-2E9C-101B-9397-08002B2CF9AE}" pid="18" name="_SharedFileIndex">
    <vt:lpwstr/>
  </property>
</Properties>
</file>